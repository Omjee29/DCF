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ee/Desktop/PERSONAL DOCS/"/>
    </mc:Choice>
  </mc:AlternateContent>
  <xr:revisionPtr revIDLastSave="0" documentId="8_{5AD1BBF8-4CB1-854C-A0FC-A4F804966F40}" xr6:coauthVersionLast="47" xr6:coauthVersionMax="47" xr10:uidLastSave="{00000000-0000-0000-0000-000000000000}"/>
  <bookViews>
    <workbookView xWindow="0" yWindow="0" windowWidth="33600" windowHeight="21000" xr2:uid="{10292A0B-F178-4EBB-90B0-CE6CA710649F}"/>
  </bookViews>
  <sheets>
    <sheet name="Cover" sheetId="10" r:id="rId1"/>
    <sheet name="Assumptions" sheetId="9" r:id="rId2"/>
    <sheet name="Income Statement" sheetId="1" r:id="rId3"/>
    <sheet name="Balance Sheet" sheetId="2" r:id="rId4"/>
    <sheet name="Cash Flow Statement" sheetId="3" r:id="rId5"/>
    <sheet name="WACC" sheetId="4" r:id="rId6"/>
    <sheet name="DCF Valuation" sheetId="5" r:id="rId7"/>
    <sheet name="Revenue &amp; Cost Drivers" sheetId="6" r:id="rId8"/>
    <sheet name="Capacity Expansion" sheetId="7" r:id="rId9"/>
    <sheet name="Debt Schedule" sheetId="8" r:id="rId10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4" i="5" l="1"/>
  <c r="B33" i="5"/>
  <c r="B30" i="5"/>
  <c r="B32" i="5"/>
  <c r="B31" i="5"/>
  <c r="B29" i="5"/>
  <c r="B28" i="5"/>
  <c r="B27" i="5"/>
  <c r="G17" i="5"/>
  <c r="G16" i="5"/>
  <c r="G15" i="5"/>
  <c r="G14" i="5"/>
  <c r="G13" i="5"/>
  <c r="G12" i="5"/>
  <c r="G11" i="5"/>
  <c r="G10" i="5"/>
  <c r="G9" i="5"/>
  <c r="G8" i="5"/>
  <c r="G7" i="5"/>
  <c r="G6" i="5"/>
  <c r="B25" i="5"/>
  <c r="B24" i="5"/>
  <c r="F20" i="5"/>
  <c r="F21" i="5" s="1"/>
  <c r="E20" i="5"/>
  <c r="E21" i="5" s="1"/>
  <c r="D20" i="5"/>
  <c r="D21" i="5" s="1"/>
  <c r="C20" i="5"/>
  <c r="C21" i="5" s="1"/>
  <c r="B21" i="5"/>
  <c r="B20" i="5"/>
  <c r="B26" i="5"/>
  <c r="F16" i="5"/>
  <c r="E16" i="5"/>
  <c r="D16" i="5"/>
  <c r="C16" i="5"/>
  <c r="F15" i="5"/>
  <c r="E15" i="5"/>
  <c r="D15" i="5"/>
  <c r="C15" i="5"/>
  <c r="F14" i="5"/>
  <c r="E14" i="5"/>
  <c r="D14" i="5"/>
  <c r="C14" i="5"/>
  <c r="F10" i="5"/>
  <c r="E10" i="5"/>
  <c r="D10" i="5"/>
  <c r="C10" i="5"/>
  <c r="F8" i="5"/>
  <c r="F11" i="5" s="1"/>
  <c r="E8" i="5"/>
  <c r="E11" i="5" s="1"/>
  <c r="D8" i="5"/>
  <c r="D11" i="5" s="1"/>
  <c r="C8" i="5"/>
  <c r="C11" i="5" s="1"/>
  <c r="F7" i="5"/>
  <c r="E7" i="5"/>
  <c r="D7" i="5"/>
  <c r="C7" i="5"/>
  <c r="F6" i="5"/>
  <c r="E6" i="5"/>
  <c r="D6" i="5"/>
  <c r="C6" i="5"/>
  <c r="B16" i="5"/>
  <c r="B15" i="5"/>
  <c r="B14" i="5"/>
  <c r="B10" i="5"/>
  <c r="B11" i="5" s="1"/>
  <c r="B12" i="5" s="1"/>
  <c r="B9" i="5"/>
  <c r="B8" i="5"/>
  <c r="B7" i="5"/>
  <c r="B6" i="5"/>
  <c r="E31" i="2"/>
  <c r="F31" i="2" s="1"/>
  <c r="E30" i="2"/>
  <c r="F30" i="2" s="1"/>
  <c r="E29" i="2"/>
  <c r="F29" i="2" s="1"/>
  <c r="E22" i="2"/>
  <c r="F22" i="2" s="1"/>
  <c r="G22" i="2" s="1"/>
  <c r="H22" i="2" s="1"/>
  <c r="H17" i="2"/>
  <c r="G17" i="2"/>
  <c r="F17" i="2"/>
  <c r="E17" i="2"/>
  <c r="H15" i="2"/>
  <c r="G15" i="2"/>
  <c r="F15" i="2"/>
  <c r="E15" i="2"/>
  <c r="E14" i="2"/>
  <c r="E16" i="2" s="1"/>
  <c r="E18" i="2" s="1"/>
  <c r="H10" i="2"/>
  <c r="G10" i="2"/>
  <c r="F10" i="2"/>
  <c r="E10" i="2"/>
  <c r="E8" i="2"/>
  <c r="E9" i="3" s="1"/>
  <c r="E7" i="2"/>
  <c r="D22" i="2"/>
  <c r="H19" i="3"/>
  <c r="G19" i="3"/>
  <c r="F19" i="3"/>
  <c r="E19" i="3"/>
  <c r="H18" i="3"/>
  <c r="G18" i="3"/>
  <c r="F18" i="3"/>
  <c r="E18" i="3"/>
  <c r="D24" i="3"/>
  <c r="D19" i="3"/>
  <c r="D18" i="3"/>
  <c r="H14" i="3"/>
  <c r="H15" i="3" s="1"/>
  <c r="G14" i="3"/>
  <c r="G15" i="3" s="1"/>
  <c r="F14" i="3"/>
  <c r="F15" i="3" s="1"/>
  <c r="E14" i="3"/>
  <c r="E15" i="3" s="1"/>
  <c r="D15" i="3"/>
  <c r="D14" i="3"/>
  <c r="E8" i="3"/>
  <c r="D9" i="3"/>
  <c r="H7" i="3"/>
  <c r="G7" i="3"/>
  <c r="F7" i="3"/>
  <c r="E7" i="3"/>
  <c r="D7" i="3"/>
  <c r="H6" i="3"/>
  <c r="G6" i="3"/>
  <c r="F6" i="3"/>
  <c r="E6" i="3"/>
  <c r="D6" i="3"/>
  <c r="D17" i="2"/>
  <c r="D15" i="2"/>
  <c r="D14" i="2"/>
  <c r="D16" i="2" s="1"/>
  <c r="D18" i="2" s="1"/>
  <c r="D10" i="2"/>
  <c r="D8" i="2"/>
  <c r="D7" i="2"/>
  <c r="D8" i="3" s="1"/>
  <c r="D31" i="2"/>
  <c r="D30" i="2"/>
  <c r="D29" i="2"/>
  <c r="C33" i="2"/>
  <c r="C32" i="2"/>
  <c r="B32" i="2"/>
  <c r="C31" i="2"/>
  <c r="B31" i="2"/>
  <c r="C30" i="2"/>
  <c r="B30" i="2"/>
  <c r="C29" i="2"/>
  <c r="B29" i="2"/>
  <c r="H22" i="1"/>
  <c r="G22" i="1"/>
  <c r="F22" i="1"/>
  <c r="E22" i="1"/>
  <c r="D22" i="1"/>
  <c r="H21" i="1"/>
  <c r="G21" i="1"/>
  <c r="F21" i="1"/>
  <c r="E21" i="1"/>
  <c r="D21" i="1"/>
  <c r="H20" i="1"/>
  <c r="G20" i="1"/>
  <c r="F20" i="1"/>
  <c r="E20" i="1"/>
  <c r="D20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H13" i="1"/>
  <c r="G13" i="1"/>
  <c r="G14" i="1" s="1"/>
  <c r="F13" i="1"/>
  <c r="F14" i="1" s="1"/>
  <c r="E13" i="1"/>
  <c r="E14" i="1" s="1"/>
  <c r="D14" i="1"/>
  <c r="D13" i="1"/>
  <c r="H12" i="1"/>
  <c r="G12" i="1"/>
  <c r="F12" i="1"/>
  <c r="E12" i="1"/>
  <c r="D12" i="1"/>
  <c r="H11" i="1"/>
  <c r="G11" i="1"/>
  <c r="F11" i="1"/>
  <c r="E11" i="1"/>
  <c r="D11" i="1"/>
  <c r="H10" i="1"/>
  <c r="G10" i="1"/>
  <c r="F10" i="1"/>
  <c r="E10" i="1"/>
  <c r="D10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G24" i="8"/>
  <c r="F24" i="8"/>
  <c r="E24" i="8"/>
  <c r="D24" i="8"/>
  <c r="G23" i="8"/>
  <c r="F23" i="8"/>
  <c r="E23" i="8"/>
  <c r="D23" i="8"/>
  <c r="C24" i="8"/>
  <c r="C23" i="8"/>
  <c r="G20" i="8"/>
  <c r="F20" i="8"/>
  <c r="E20" i="8"/>
  <c r="D20" i="8"/>
  <c r="C20" i="8"/>
  <c r="G19" i="8"/>
  <c r="F19" i="8"/>
  <c r="E19" i="8"/>
  <c r="D19" i="8"/>
  <c r="C19" i="8"/>
  <c r="G16" i="8"/>
  <c r="F16" i="8"/>
  <c r="E16" i="8"/>
  <c r="D16" i="8"/>
  <c r="C17" i="8"/>
  <c r="C18" i="8" s="1"/>
  <c r="D15" i="8" s="1"/>
  <c r="C16" i="8"/>
  <c r="G32" i="8"/>
  <c r="F32" i="8"/>
  <c r="E32" i="8"/>
  <c r="D32" i="8"/>
  <c r="C32" i="8"/>
  <c r="G31" i="8"/>
  <c r="F31" i="8"/>
  <c r="E31" i="8"/>
  <c r="D31" i="8"/>
  <c r="C31" i="8"/>
  <c r="G30" i="8"/>
  <c r="F30" i="8"/>
  <c r="E30" i="8"/>
  <c r="D30" i="8"/>
  <c r="C30" i="8"/>
  <c r="B25" i="8"/>
  <c r="B24" i="8"/>
  <c r="B23" i="8"/>
  <c r="C15" i="8"/>
  <c r="B18" i="8"/>
  <c r="B17" i="8"/>
  <c r="B16" i="8"/>
  <c r="B15" i="8"/>
  <c r="G12" i="8"/>
  <c r="F12" i="8"/>
  <c r="E12" i="8"/>
  <c r="D12" i="8"/>
  <c r="C12" i="8"/>
  <c r="G11" i="8"/>
  <c r="F11" i="8"/>
  <c r="E11" i="8"/>
  <c r="D11" i="8"/>
  <c r="C11" i="8"/>
  <c r="B22" i="4"/>
  <c r="B20" i="4"/>
  <c r="B19" i="4"/>
  <c r="B18" i="4"/>
  <c r="B17" i="4"/>
  <c r="B16" i="4"/>
  <c r="B28" i="4"/>
  <c r="B27" i="4"/>
  <c r="B13" i="4"/>
  <c r="B12" i="4"/>
  <c r="B11" i="4"/>
  <c r="B8" i="4"/>
  <c r="B6" i="4"/>
  <c r="B7" i="4"/>
  <c r="B5" i="4"/>
  <c r="G9" i="8"/>
  <c r="F9" i="8"/>
  <c r="E9" i="8"/>
  <c r="D9" i="8"/>
  <c r="G8" i="8"/>
  <c r="F8" i="8"/>
  <c r="E8" i="8"/>
  <c r="D8" i="8"/>
  <c r="D7" i="8"/>
  <c r="D10" i="8" s="1"/>
  <c r="E7" i="8" s="1"/>
  <c r="E10" i="8" s="1"/>
  <c r="F7" i="8" s="1"/>
  <c r="F10" i="8" s="1"/>
  <c r="G7" i="8" s="1"/>
  <c r="G10" i="8" s="1"/>
  <c r="C10" i="8"/>
  <c r="C9" i="8"/>
  <c r="C8" i="8"/>
  <c r="C7" i="8"/>
  <c r="B10" i="8"/>
  <c r="B7" i="8"/>
  <c r="G25" i="7"/>
  <c r="F25" i="7"/>
  <c r="E25" i="7"/>
  <c r="D25" i="7"/>
  <c r="C27" i="7"/>
  <c r="D24" i="7" s="1"/>
  <c r="C26" i="7"/>
  <c r="D32" i="7"/>
  <c r="E32" i="7"/>
  <c r="F32" i="7"/>
  <c r="G32" i="7"/>
  <c r="C32" i="7"/>
  <c r="B32" i="7"/>
  <c r="C25" i="7"/>
  <c r="C24" i="7"/>
  <c r="B27" i="7"/>
  <c r="B26" i="7"/>
  <c r="B25" i="7"/>
  <c r="B24" i="7"/>
  <c r="D21" i="7"/>
  <c r="E21" i="7"/>
  <c r="F21" i="7"/>
  <c r="G21" i="7"/>
  <c r="C21" i="7"/>
  <c r="B21" i="7"/>
  <c r="D20" i="7"/>
  <c r="E20" i="7"/>
  <c r="F20" i="7"/>
  <c r="G20" i="7"/>
  <c r="C20" i="7"/>
  <c r="E31" i="7"/>
  <c r="F31" i="7" s="1"/>
  <c r="D31" i="7"/>
  <c r="G31" i="7"/>
  <c r="C31" i="7"/>
  <c r="G19" i="7"/>
  <c r="F19" i="7"/>
  <c r="E19" i="7"/>
  <c r="D19" i="7"/>
  <c r="C19" i="7"/>
  <c r="G18" i="7"/>
  <c r="F18" i="7"/>
  <c r="E18" i="7"/>
  <c r="D18" i="7"/>
  <c r="C18" i="7"/>
  <c r="C13" i="7"/>
  <c r="C14" i="7" s="1"/>
  <c r="C15" i="7" s="1"/>
  <c r="D12" i="7" s="1"/>
  <c r="C12" i="7"/>
  <c r="C8" i="7"/>
  <c r="D8" i="7"/>
  <c r="E8" i="7"/>
  <c r="F8" i="7"/>
  <c r="G8" i="7"/>
  <c r="B8" i="7"/>
  <c r="E9" i="7"/>
  <c r="F9" i="7"/>
  <c r="D9" i="7"/>
  <c r="B9" i="7"/>
  <c r="G9" i="7"/>
  <c r="C9" i="7"/>
  <c r="B15" i="7"/>
  <c r="C7" i="7"/>
  <c r="D7" i="7"/>
  <c r="E7" i="7"/>
  <c r="F7" i="7"/>
  <c r="G7" i="7"/>
  <c r="B7" i="7"/>
  <c r="B32" i="6"/>
  <c r="B31" i="6"/>
  <c r="G24" i="6"/>
  <c r="F24" i="6"/>
  <c r="E24" i="6"/>
  <c r="D24" i="6"/>
  <c r="C24" i="6"/>
  <c r="G23" i="6"/>
  <c r="F23" i="6"/>
  <c r="E23" i="6"/>
  <c r="D23" i="6"/>
  <c r="C23" i="6"/>
  <c r="G22" i="6"/>
  <c r="F22" i="6"/>
  <c r="E22" i="6"/>
  <c r="D22" i="6"/>
  <c r="C22" i="6"/>
  <c r="D21" i="6"/>
  <c r="E21" i="6"/>
  <c r="F21" i="6"/>
  <c r="G21" i="6"/>
  <c r="C21" i="6"/>
  <c r="D20" i="6"/>
  <c r="E20" i="6"/>
  <c r="F20" i="6"/>
  <c r="G20" i="6"/>
  <c r="C20" i="6"/>
  <c r="D19" i="6"/>
  <c r="E19" i="6"/>
  <c r="F19" i="6"/>
  <c r="G19" i="6"/>
  <c r="C19" i="6"/>
  <c r="D13" i="6"/>
  <c r="E13" i="6"/>
  <c r="F13" i="6"/>
  <c r="G13" i="6"/>
  <c r="C13" i="6"/>
  <c r="D12" i="6"/>
  <c r="E12" i="6"/>
  <c r="F12" i="6"/>
  <c r="G12" i="6"/>
  <c r="C12" i="6"/>
  <c r="D11" i="6"/>
  <c r="E11" i="6"/>
  <c r="F11" i="6"/>
  <c r="G11" i="6"/>
  <c r="C11" i="6"/>
  <c r="D10" i="6"/>
  <c r="E10" i="6"/>
  <c r="F10" i="6"/>
  <c r="G10" i="6"/>
  <c r="C10" i="6"/>
  <c r="F9" i="6"/>
  <c r="E9" i="6"/>
  <c r="C9" i="6"/>
  <c r="G9" i="6"/>
  <c r="D9" i="6"/>
  <c r="D7" i="6"/>
  <c r="E7" i="6"/>
  <c r="F7" i="6"/>
  <c r="G7" i="6"/>
  <c r="C7" i="6"/>
  <c r="B7" i="6"/>
  <c r="D8" i="6"/>
  <c r="E8" i="6"/>
  <c r="F8" i="6"/>
  <c r="G8" i="6"/>
  <c r="C8" i="6"/>
  <c r="B24" i="6"/>
  <c r="B23" i="6"/>
  <c r="B22" i="6"/>
  <c r="B21" i="6"/>
  <c r="B20" i="6"/>
  <c r="B13" i="6"/>
  <c r="B12" i="6"/>
  <c r="B11" i="6"/>
  <c r="C29" i="6"/>
  <c r="D29" i="6"/>
  <c r="E29" i="6"/>
  <c r="F29" i="6"/>
  <c r="G29" i="6"/>
  <c r="B29" i="6"/>
  <c r="B19" i="6"/>
  <c r="C18" i="6"/>
  <c r="D18" i="6"/>
  <c r="E18" i="6"/>
  <c r="F18" i="6"/>
  <c r="G18" i="6"/>
  <c r="B18" i="6"/>
  <c r="C17" i="6"/>
  <c r="D17" i="6"/>
  <c r="E17" i="6"/>
  <c r="F17" i="6"/>
  <c r="G17" i="6"/>
  <c r="B17" i="6"/>
  <c r="C16" i="6"/>
  <c r="D16" i="6"/>
  <c r="E16" i="6"/>
  <c r="F16" i="6"/>
  <c r="G16" i="6"/>
  <c r="B16" i="6"/>
  <c r="C26" i="3"/>
  <c r="C25" i="3"/>
  <c r="B25" i="3"/>
  <c r="C24" i="3"/>
  <c r="C23" i="3"/>
  <c r="B23" i="3"/>
  <c r="C21" i="3"/>
  <c r="B21" i="3"/>
  <c r="C15" i="3"/>
  <c r="B15" i="3"/>
  <c r="C11" i="3"/>
  <c r="B11" i="3"/>
  <c r="C10" i="3"/>
  <c r="C9" i="3"/>
  <c r="C8" i="3"/>
  <c r="C7" i="3"/>
  <c r="B7" i="3"/>
  <c r="C6" i="3"/>
  <c r="B6" i="3"/>
  <c r="C26" i="2"/>
  <c r="B26" i="2"/>
  <c r="C25" i="2"/>
  <c r="B25" i="2"/>
  <c r="C23" i="2"/>
  <c r="B23" i="2"/>
  <c r="C18" i="2"/>
  <c r="B18" i="2"/>
  <c r="C16" i="2"/>
  <c r="B16" i="2"/>
  <c r="C11" i="2"/>
  <c r="B11" i="2"/>
  <c r="C9" i="2"/>
  <c r="B9" i="2"/>
  <c r="C22" i="1"/>
  <c r="B22" i="1"/>
  <c r="C21" i="1"/>
  <c r="B21" i="1"/>
  <c r="C20" i="1"/>
  <c r="B20" i="1"/>
  <c r="C18" i="1"/>
  <c r="B18" i="1"/>
  <c r="C16" i="1"/>
  <c r="B16" i="1"/>
  <c r="C14" i="1"/>
  <c r="B14" i="1"/>
  <c r="C12" i="1"/>
  <c r="B12" i="1"/>
  <c r="C9" i="1"/>
  <c r="B9" i="1"/>
  <c r="C7" i="1"/>
  <c r="C13" i="5" l="1"/>
  <c r="C17" i="5" s="1"/>
  <c r="C12" i="5"/>
  <c r="D12" i="5"/>
  <c r="D13" i="5" s="1"/>
  <c r="D17" i="5" s="1"/>
  <c r="E12" i="5"/>
  <c r="E13" i="5" s="1"/>
  <c r="E17" i="5" s="1"/>
  <c r="F12" i="5"/>
  <c r="F13" i="5" s="1"/>
  <c r="F17" i="5" s="1"/>
  <c r="C9" i="5"/>
  <c r="D9" i="5"/>
  <c r="E9" i="5"/>
  <c r="F9" i="5"/>
  <c r="B13" i="5"/>
  <c r="B17" i="5" s="1"/>
  <c r="G29" i="2"/>
  <c r="F7" i="2"/>
  <c r="G30" i="2"/>
  <c r="F8" i="2"/>
  <c r="F9" i="3" s="1"/>
  <c r="G31" i="2"/>
  <c r="F14" i="2"/>
  <c r="D10" i="3"/>
  <c r="D11" i="3" s="1"/>
  <c r="D20" i="3" s="1"/>
  <c r="E10" i="3"/>
  <c r="E32" i="2"/>
  <c r="E11" i="3"/>
  <c r="D32" i="2"/>
  <c r="D33" i="2" s="1"/>
  <c r="D17" i="8"/>
  <c r="D18" i="8"/>
  <c r="E15" i="8" s="1"/>
  <c r="D27" i="7"/>
  <c r="E24" i="7" s="1"/>
  <c r="D26" i="7"/>
  <c r="D13" i="7"/>
  <c r="D14" i="7" s="1"/>
  <c r="D15" i="7" s="1"/>
  <c r="E12" i="7" s="1"/>
  <c r="D21" i="3" l="1"/>
  <c r="D23" i="3" s="1"/>
  <c r="D25" i="3" s="1"/>
  <c r="D21" i="2"/>
  <c r="G8" i="2"/>
  <c r="G9" i="3" s="1"/>
  <c r="H30" i="2"/>
  <c r="H8" i="2" s="1"/>
  <c r="H9" i="3" s="1"/>
  <c r="E33" i="2"/>
  <c r="F32" i="2"/>
  <c r="F33" i="2" s="1"/>
  <c r="F8" i="3"/>
  <c r="F11" i="3" s="1"/>
  <c r="H29" i="2"/>
  <c r="H7" i="2" s="1"/>
  <c r="G7" i="2"/>
  <c r="H31" i="2"/>
  <c r="H14" i="2" s="1"/>
  <c r="G14" i="2"/>
  <c r="F16" i="2"/>
  <c r="F18" i="2" s="1"/>
  <c r="F10" i="3"/>
  <c r="E17" i="8"/>
  <c r="E18" i="8"/>
  <c r="F15" i="8" s="1"/>
  <c r="E26" i="7"/>
  <c r="E27" i="7"/>
  <c r="F24" i="7" s="1"/>
  <c r="E13" i="7"/>
  <c r="E14" i="7" s="1"/>
  <c r="E15" i="7" s="1"/>
  <c r="F12" i="7" s="1"/>
  <c r="G8" i="3" l="1"/>
  <c r="G32" i="2"/>
  <c r="G33" i="2" s="1"/>
  <c r="E24" i="3"/>
  <c r="E20" i="3" s="1"/>
  <c r="E21" i="3" s="1"/>
  <c r="E23" i="3" s="1"/>
  <c r="E25" i="3" s="1"/>
  <c r="D6" i="2"/>
  <c r="H8" i="3"/>
  <c r="H11" i="3" s="1"/>
  <c r="H32" i="2"/>
  <c r="H33" i="2" s="1"/>
  <c r="G16" i="2"/>
  <c r="G18" i="2" s="1"/>
  <c r="G10" i="3"/>
  <c r="H10" i="3"/>
  <c r="H16" i="2"/>
  <c r="H18" i="2" s="1"/>
  <c r="D23" i="2"/>
  <c r="D25" i="2" s="1"/>
  <c r="F17" i="8"/>
  <c r="F18" i="8" s="1"/>
  <c r="G15" i="8" s="1"/>
  <c r="F27" i="7"/>
  <c r="G24" i="7" s="1"/>
  <c r="F26" i="7"/>
  <c r="F13" i="7"/>
  <c r="F14" i="7" s="1"/>
  <c r="F15" i="7"/>
  <c r="G12" i="7" s="1"/>
  <c r="D9" i="2" l="1"/>
  <c r="D11" i="2" s="1"/>
  <c r="C25" i="8"/>
  <c r="F24" i="3"/>
  <c r="F20" i="3" s="1"/>
  <c r="F21" i="3" s="1"/>
  <c r="F23" i="3" s="1"/>
  <c r="F25" i="3" s="1"/>
  <c r="E6" i="2"/>
  <c r="E21" i="2"/>
  <c r="G11" i="3"/>
  <c r="G17" i="8"/>
  <c r="G18" i="8" s="1"/>
  <c r="G26" i="7"/>
  <c r="G27" i="7" s="1"/>
  <c r="G13" i="7"/>
  <c r="G14" i="7" s="1"/>
  <c r="G15" i="7" s="1"/>
  <c r="F21" i="2" l="1"/>
  <c r="E23" i="2"/>
  <c r="E25" i="2" s="1"/>
  <c r="D25" i="8"/>
  <c r="E9" i="2"/>
  <c r="E11" i="2" s="1"/>
  <c r="G24" i="3"/>
  <c r="G20" i="3" s="1"/>
  <c r="G21" i="3" s="1"/>
  <c r="G23" i="3" s="1"/>
  <c r="G25" i="3" s="1"/>
  <c r="F6" i="2"/>
  <c r="H24" i="3" l="1"/>
  <c r="H20" i="3" s="1"/>
  <c r="H21" i="3" s="1"/>
  <c r="H23" i="3" s="1"/>
  <c r="H25" i="3" s="1"/>
  <c r="H6" i="2" s="1"/>
  <c r="G6" i="2"/>
  <c r="F9" i="2"/>
  <c r="F11" i="2" s="1"/>
  <c r="E25" i="8"/>
  <c r="G21" i="2"/>
  <c r="F23" i="2"/>
  <c r="F25" i="2" s="1"/>
  <c r="H21" i="2" l="1"/>
  <c r="H23" i="2" s="1"/>
  <c r="H25" i="2" s="1"/>
  <c r="G23" i="2"/>
  <c r="G25" i="2" s="1"/>
  <c r="G9" i="2"/>
  <c r="G11" i="2" s="1"/>
  <c r="F25" i="8"/>
  <c r="H9" i="2"/>
  <c r="H11" i="2" s="1"/>
  <c r="G25" i="8"/>
</calcChain>
</file>

<file path=xl/sharedStrings.xml><?xml version="1.0" encoding="utf-8"?>
<sst xmlns="http://schemas.openxmlformats.org/spreadsheetml/2006/main" count="292" uniqueCount="214">
  <si>
    <t>VoltDrive Motors — EV Automobile Manufacturer</t>
  </si>
  <si>
    <t>Income Statement ($ in millions)</t>
  </si>
  <si>
    <t>FY2024A</t>
  </si>
  <si>
    <t>FY2025A</t>
  </si>
  <si>
    <t>Revenue</t>
  </si>
  <si>
    <t>Revenue Growth %</t>
  </si>
  <si>
    <t>Cost of Goods Sold</t>
  </si>
  <si>
    <t>Gross Profit</t>
  </si>
  <si>
    <t>R&amp;D Expense</t>
  </si>
  <si>
    <t>SG&amp;A Expense</t>
  </si>
  <si>
    <t>EBITDA</t>
  </si>
  <si>
    <t>Depreciation &amp; Amortization</t>
  </si>
  <si>
    <t>EBIT</t>
  </si>
  <si>
    <t>Interest Expense</t>
  </si>
  <si>
    <t>EBT (Pre-tax Income)</t>
  </si>
  <si>
    <t>Tax Expense</t>
  </si>
  <si>
    <t>Net Income</t>
  </si>
  <si>
    <t>Gross Margin %</t>
  </si>
  <si>
    <t>EBITDA Margin %</t>
  </si>
  <si>
    <t>Net Margin %</t>
  </si>
  <si>
    <t>Balance Sheet ($ in millions)</t>
  </si>
  <si>
    <t>Assets</t>
  </si>
  <si>
    <t>Cash &amp; Equivalents</t>
  </si>
  <si>
    <t>Accounts Receivable</t>
  </si>
  <si>
    <t>Inventory</t>
  </si>
  <si>
    <t>Total Current Assets</t>
  </si>
  <si>
    <t>Net PP&amp;E (incl. Gigafactory)</t>
  </si>
  <si>
    <t>Total Assets</t>
  </si>
  <si>
    <t>Liabilities</t>
  </si>
  <si>
    <t>Accounts Payable</t>
  </si>
  <si>
    <t>Short-term Debt</t>
  </si>
  <si>
    <t>Total Current Liabilities</t>
  </si>
  <si>
    <t>Long-term Debt</t>
  </si>
  <si>
    <t>Total Liabilities</t>
  </si>
  <si>
    <t>Equity</t>
  </si>
  <si>
    <t>Common Stock &amp; APIC</t>
  </si>
  <si>
    <t>Retained Earnings</t>
  </si>
  <si>
    <t>Total Equity</t>
  </si>
  <si>
    <t>Total Liabilities &amp; Equity</t>
  </si>
  <si>
    <t>Balance Check (should be 0)</t>
  </si>
  <si>
    <t>Cash Flow Statement ($ in millions)</t>
  </si>
  <si>
    <t>Operating Activities</t>
  </si>
  <si>
    <t>Add: D&amp;A</t>
  </si>
  <si>
    <t>(Incr)/Decr in Accounts Receivable</t>
  </si>
  <si>
    <t>N/A (base year)</t>
  </si>
  <si>
    <t>(Incr)/Decr in Inventory</t>
  </si>
  <si>
    <t>Incr/(Decr) in Accounts Payable</t>
  </si>
  <si>
    <t>Net Cash from Operating Activities</t>
  </si>
  <si>
    <t>Investing Activities</t>
  </si>
  <si>
    <t>Capital Expenditures</t>
  </si>
  <si>
    <t>Net Cash from Investing Activities</t>
  </si>
  <si>
    <t>Financing Activities</t>
  </si>
  <si>
    <t>Debt Issued</t>
  </si>
  <si>
    <t>Debt Repaid</t>
  </si>
  <si>
    <t>Equity Issued</t>
  </si>
  <si>
    <t>Net Cash from Financing Activities</t>
  </si>
  <si>
    <t>Net Change in Cash</t>
  </si>
  <si>
    <t>Beginning Cash Balance</t>
  </si>
  <si>
    <t>Ending Cash Balance</t>
  </si>
  <si>
    <t>Check vs. Balance Sheet Cash (should be 0)</t>
  </si>
  <si>
    <t>VoltDrive Motors — WACC Calculation Template</t>
  </si>
  <si>
    <t>Fill in the yellow input cells and build the formulas in column B. Column D gives guidance only.</t>
  </si>
  <si>
    <t>Cost of Equity (CAPM)</t>
  </si>
  <si>
    <t>Risk-Free Rate (Rf)</t>
  </si>
  <si>
    <t>e.g., 10-yr Treasury yield</t>
  </si>
  <si>
    <t>Levered Beta</t>
  </si>
  <si>
    <t>From comparable EV OEM public betas</t>
  </si>
  <si>
    <t>Equity Market Risk Premium (Rm – Rf)</t>
  </si>
  <si>
    <t>Historical or implied ERP</t>
  </si>
  <si>
    <t>Cost of Equity (Ke)</t>
  </si>
  <si>
    <t>Ke = Rf + Beta × ERP</t>
  </si>
  <si>
    <t>Cost of Debt</t>
  </si>
  <si>
    <t>Pre-tax Cost of Debt (Kd)</t>
  </si>
  <si>
    <t>Try: Interest Expense / Total Debt from IS &amp; BS tabs</t>
  </si>
  <si>
    <t>Marginal Tax Rate (t)</t>
  </si>
  <si>
    <t>Statutory corporate tax rate</t>
  </si>
  <si>
    <t>After-tax Cost of Debt</t>
  </si>
  <si>
    <t>Kd × (1 – t)</t>
  </si>
  <si>
    <t>Capital Structure (Market Value Weights)</t>
  </si>
  <si>
    <t>Market Value of Equity (E)</t>
  </si>
  <si>
    <t>Share price × shares outstanding (or latest funding round valuation)</t>
  </si>
  <si>
    <t>Market Value of Debt (D)</t>
  </si>
  <si>
    <t>Use Balance Sheet ST + LT Debt (book value proxy)</t>
  </si>
  <si>
    <t>Total Capital (E + D)</t>
  </si>
  <si>
    <t>Weight of Equity (E / (E+D))</t>
  </si>
  <si>
    <t>Weight of Debt (D / (E+D))</t>
  </si>
  <si>
    <t>WACC</t>
  </si>
  <si>
    <t>WACC = We × Ke + Wd × Kd × (1–t)</t>
  </si>
  <si>
    <t>VoltDrive Motors — DCF Valuation Template (Blank — Build the Formulas)</t>
  </si>
  <si>
    <t>$ in millions. Fill in every white cell below — no formulas are pre-built.</t>
  </si>
  <si>
    <t>FY2026E</t>
  </si>
  <si>
    <t>FY2027E</t>
  </si>
  <si>
    <t>FY2028E</t>
  </si>
  <si>
    <t>FY2029E</t>
  </si>
  <si>
    <t>FY2030E</t>
  </si>
  <si>
    <t>Terminal Year</t>
  </si>
  <si>
    <t>Less: D&amp;A</t>
  </si>
  <si>
    <t>Less: Taxes on EBIT</t>
  </si>
  <si>
    <t>EBIAT (NOPAT)</t>
  </si>
  <si>
    <t>Less: Capital Expenditures</t>
  </si>
  <si>
    <t>Less: Increase in Net Working Capital</t>
  </si>
  <si>
    <t>Unlevered Free Cash Flow</t>
  </si>
  <si>
    <t>Discount Period</t>
  </si>
  <si>
    <t>Discount Factor</t>
  </si>
  <si>
    <t>PV of Unlevered FCF</t>
  </si>
  <si>
    <t>Valuation Summary</t>
  </si>
  <si>
    <t>Sum of PV of Explicit-Period FCF</t>
  </si>
  <si>
    <t>Terminal Growth Rate (g)</t>
  </si>
  <si>
    <t>WACC (from WACC tab)</t>
  </si>
  <si>
    <t>Terminal Value (Gordon Growth)</t>
  </si>
  <si>
    <t>PV of Terminal Value</t>
  </si>
  <si>
    <t>Enterprise Value</t>
  </si>
  <si>
    <t>Less: Total Debt</t>
  </si>
  <si>
    <t>Add: Cash &amp; Equivalents</t>
  </si>
  <si>
    <t>Equity Value</t>
  </si>
  <si>
    <t>Diluted Shares Outstanding</t>
  </si>
  <si>
    <t>Implied Value per Share</t>
  </si>
  <si>
    <t>VoltDrive Motors — Revenue &amp; Cost Drivers Template</t>
  </si>
  <si>
    <t>Build volume, price, and unit-cost drivers here, then feed the results into the DCF tab.</t>
  </si>
  <si>
    <t>Revenue Drivers</t>
  </si>
  <si>
    <t>Vehicles Sold (units, '000)</t>
  </si>
  <si>
    <t>Unit Growth %</t>
  </si>
  <si>
    <t>Average Selling Price (ASP, $'000/unit)</t>
  </si>
  <si>
    <t>ASP Growth %</t>
  </si>
  <si>
    <t>Revenue from Vehicle Sales ($mm)</t>
  </si>
  <si>
    <t>Other Revenue (services, software, energy) ($mm)</t>
  </si>
  <si>
    <t>Total Revenue ($mm)</t>
  </si>
  <si>
    <t>Cost Drivers</t>
  </si>
  <si>
    <t>Battery Cost per Unit ($'000)</t>
  </si>
  <si>
    <t>Other Materials/Assembly Cost per Unit ($'000)</t>
  </si>
  <si>
    <t>Total Variable Cost per Unit ($'000)</t>
  </si>
  <si>
    <t>COGS ($mm)</t>
  </si>
  <si>
    <t>R&amp;D as % of Revenue</t>
  </si>
  <si>
    <t>R&amp;D Expense ($mm)</t>
  </si>
  <si>
    <t>SG&amp;A as % of Revenue</t>
  </si>
  <si>
    <t>SG&amp;A Expense ($mm)</t>
  </si>
  <si>
    <t>VoltDrive Motors — Capacity Expansion Template</t>
  </si>
  <si>
    <t>Link required capacity to unit sales from the Revenue &amp; Cost Drivers tab, then size capex to close any capacity gap.</t>
  </si>
  <si>
    <t>Demand Side</t>
  </si>
  <si>
    <t>Required Units Sold (from Drivers tab, '000)</t>
  </si>
  <si>
    <t>Required Annual Capacity (units, '000)</t>
  </si>
  <si>
    <t>Utilization Target %</t>
  </si>
  <si>
    <t>Supply Side</t>
  </si>
  <si>
    <t>Existing Installed Capacity, Beginning (units, '000)</t>
  </si>
  <si>
    <t>Capacity Gap (Required – Existing)</t>
  </si>
  <si>
    <t>New Capacity to be Added (units, '000)</t>
  </si>
  <si>
    <t>Installed Capacity, Ending (units, '000)</t>
  </si>
  <si>
    <t>Capex Sizing</t>
  </si>
  <si>
    <t>Capex per Unit of New Capacity ($mm per '000 units)</t>
  </si>
  <si>
    <t>Growth / Expansion Capex ($mm)</t>
  </si>
  <si>
    <t>Maintenance Capex ($mm)</t>
  </si>
  <si>
    <t>Total Capex ($mm)</t>
  </si>
  <si>
    <t>PP&amp;E Roll-forward</t>
  </si>
  <si>
    <t>Net PP&amp;E, Beginning ($mm)</t>
  </si>
  <si>
    <t>Add: Total Capex ($mm)</t>
  </si>
  <si>
    <t>Less: D&amp;A ($mm)</t>
  </si>
  <si>
    <t>Net PP&amp;E, Ending ($mm)</t>
  </si>
  <si>
    <t>VoltDrive Motors — Debt Schedule Template</t>
  </si>
  <si>
    <t>Build opening/closing balances, draws, and interest for each tranche; link interest expense back to the Income Statement.</t>
  </si>
  <si>
    <t>Short-Term Debt / Revolver</t>
  </si>
  <si>
    <t>Beginning Balance</t>
  </si>
  <si>
    <t>Draws</t>
  </si>
  <si>
    <t>Repayments</t>
  </si>
  <si>
    <t>Ending Balance</t>
  </si>
  <si>
    <t>Interest Rate %</t>
  </si>
  <si>
    <t>Long-Term Debt / Term Loan</t>
  </si>
  <si>
    <t>New Issuance (funds capex/expansion)</t>
  </si>
  <si>
    <t>Scheduled Repayments</t>
  </si>
  <si>
    <t>Total Debt Summary</t>
  </si>
  <si>
    <t>Total Debt, Ending Balance</t>
  </si>
  <si>
    <t>Total Interest Expense</t>
  </si>
  <si>
    <t>Cash Balance (min cash / sweep check)</t>
  </si>
  <si>
    <t>VoltDrive Motors — Assumptions</t>
  </si>
  <si>
    <t>Value</t>
  </si>
  <si>
    <t>Cost of Capital &amp; Valuation Assumptions</t>
  </si>
  <si>
    <t>Diluted Shares Outstanding (mm)</t>
  </si>
  <si>
    <t>Reference Share Price ($)</t>
  </si>
  <si>
    <t>Volume &amp; Pricing Drivers</t>
  </si>
  <si>
    <t>Unit Growth % (Vehicles Sold)</t>
  </si>
  <si>
    <t>ASP Anchor ($'000/unit) — FY2027E &amp; FY2030E given; FY26E/28E/29E interpolated straight-line</t>
  </si>
  <si>
    <t>Other Revenue (% of Vehicle Sales Revenue)</t>
  </si>
  <si>
    <t>Unit Cost Drivers</t>
  </si>
  <si>
    <t>Operating Expense Ratios (% of Revenue)</t>
  </si>
  <si>
    <t>Capacity &amp; Capex Assumptions</t>
  </si>
  <si>
    <t>FY2025A Installed Capacity, Beginning (units, '000)</t>
  </si>
  <si>
    <t>Utilization Target % (anchors FY26E &amp; FY30E; FY27E-29E interpolated)</t>
  </si>
  <si>
    <t>Maintenance Capex (% of Revenue) (anchors FY26E &amp; FY30E; interpolated)</t>
  </si>
  <si>
    <t>Debt &amp; Financing Assumptions</t>
  </si>
  <si>
    <t>ST Debt Draws ($mm)</t>
  </si>
  <si>
    <t>ST Debt Repayments ($mm)</t>
  </si>
  <si>
    <t>New LT Debt (% of Total Capex)</t>
  </si>
  <si>
    <t>Scheduled LT Repayment (% of Beginning LT Balance)</t>
  </si>
  <si>
    <t>Minimum Cash Balance ($mm)</t>
  </si>
  <si>
    <t>Additional Assumptions (added)</t>
  </si>
  <si>
    <t>New LT Debt as % of Total Capex</t>
  </si>
  <si>
    <t>Minimum Cash Balance ($mm) - shortfall funded by equity issuance (CFS row 20)</t>
  </si>
  <si>
    <t>Additional Assumptions &amp; Reconciliation (added)</t>
  </si>
  <si>
    <t>Other Revenue as % of Vehicle Sales Revenue</t>
  </si>
  <si>
    <t>FY25A implied units back-solved: (Reported Revenue / (1 + Other %)) / ASP</t>
  </si>
  <si>
    <t>FY25A COGS implied by unit-cost drivers ($mm) = Units x $66.0k</t>
  </si>
  <si>
    <t>FY25A variance: driver-implied COGS less reported COGS ($mm)</t>
  </si>
  <si>
    <t>Equity Value Reference Inputs (ASSUMED - not given in brief)</t>
  </si>
  <si>
    <t>Reference Share Price ($) - proxy for latest funding round</t>
  </si>
  <si>
    <t>Working Capital Metrics (added)</t>
  </si>
  <si>
    <t>DSO (days) = AR / Revenue x 365</t>
  </si>
  <si>
    <t>DIO (days) = Inventory / COGS x 365</t>
  </si>
  <si>
    <t>DPO (days) = AP / COGS x 365</t>
  </si>
  <si>
    <t>Net Working Capital ($mm) = AR + Inventory - AP</t>
  </si>
  <si>
    <t>Increase / (Decrease) in NWC ($mm)</t>
  </si>
  <si>
    <t>Submitted to - Prof. Pulin Aggarwal</t>
  </si>
  <si>
    <t>DCF Model- Individual Assignment</t>
  </si>
  <si>
    <t>https://drive.google.com/file/d/1k_QBqPZNkdEYOCHSCVSIDzXzKsG8dEGS/view?usp=sharing</t>
  </si>
  <si>
    <t xml:space="preserve">Video Link - </t>
  </si>
  <si>
    <t>Submitted by - Omjee(25PGDM034)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</si>
</sst>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&quot;-&quot;"/>
    <numFmt numFmtId="165" formatCode="0.0%"/>
    <numFmt numFmtId="166" formatCode="#,##0;\(#,##0\);\-"/>
    <numFmt numFmtId="167" formatCode="\$#,##0.00"/>
    <numFmt numFmtId="168" formatCode="#,##0.0;\(#,##0.0\);\-"/>
    <numFmt numFmtId="169" formatCode="0.000"/>
    <numFmt numFmtId="170" formatCode="_-[$$-409]* #,##0.00_ ;_-[$$-409]* \-#,##0.00\ ;_-[$$-409]* &quot;-&quot;??_ ;_-@_ 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Aptos Narrow"/>
      <family val="2"/>
    </font>
    <font>
      <i/>
      <sz val="10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rgb="FF0000FF"/>
      <name val="Aptos Narrow"/>
      <family val="2"/>
    </font>
    <font>
      <i/>
      <sz val="9"/>
      <name val="Aptos Narrow"/>
      <family val="2"/>
    </font>
    <font>
      <sz val="11"/>
      <color rgb="FF008000"/>
      <name val="Aptos Narrow"/>
      <family val="2"/>
    </font>
    <font>
      <sz val="11"/>
      <color rgb="FF000000"/>
      <name val="Aptos Narrow"/>
      <family val="2"/>
    </font>
    <font>
      <b/>
      <sz val="9"/>
      <name val="Aptos Narrow"/>
      <family val="2"/>
    </font>
    <font>
      <b/>
      <sz val="11"/>
      <color rgb="FF000000"/>
      <name val="Aptos Narrow"/>
      <family val="2"/>
    </font>
    <font>
      <b/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164" fontId="4" fillId="0" borderId="0" xfId="0" applyNumberFormat="1" applyFont="1"/>
    <xf numFmtId="165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5" fillId="0" borderId="0" xfId="0" applyFont="1"/>
    <xf numFmtId="0" fontId="1" fillId="2" borderId="0" xfId="0" applyFont="1" applyFill="1"/>
    <xf numFmtId="0" fontId="0" fillId="2" borderId="0" xfId="0" applyFill="1"/>
    <xf numFmtId="164" fontId="6" fillId="0" borderId="0" xfId="0" applyNumberFormat="1" applyFont="1"/>
    <xf numFmtId="0" fontId="7" fillId="0" borderId="0" xfId="0" applyFont="1" applyAlignment="1">
      <alignment horizontal="center"/>
    </xf>
    <xf numFmtId="164" fontId="8" fillId="0" borderId="0" xfId="0" applyNumberFormat="1" applyFont="1"/>
    <xf numFmtId="0" fontId="9" fillId="0" borderId="0" xfId="0" applyFont="1"/>
    <xf numFmtId="0" fontId="10" fillId="0" borderId="0" xfId="0" applyFont="1"/>
    <xf numFmtId="10" fontId="0" fillId="3" borderId="0" xfId="0" applyNumberFormat="1" applyFill="1"/>
    <xf numFmtId="10" fontId="1" fillId="0" borderId="0" xfId="0" applyNumberFormat="1" applyFont="1"/>
    <xf numFmtId="3" fontId="0" fillId="3" borderId="0" xfId="0" applyNumberFormat="1" applyFill="1"/>
    <xf numFmtId="3" fontId="1" fillId="0" borderId="0" xfId="0" applyNumberFormat="1" applyFont="1"/>
    <xf numFmtId="0" fontId="11" fillId="2" borderId="0" xfId="0" applyFont="1" applyFill="1"/>
    <xf numFmtId="10" fontId="11" fillId="2" borderId="0" xfId="0" applyNumberFormat="1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4" borderId="0" xfId="0" applyFont="1" applyFill="1"/>
    <xf numFmtId="0" fontId="16" fillId="0" borderId="0" xfId="0" applyFont="1"/>
    <xf numFmtId="165" fontId="17" fillId="5" borderId="0" xfId="0" applyNumberFormat="1" applyFont="1" applyFill="1"/>
    <xf numFmtId="0" fontId="18" fillId="0" borderId="0" xfId="0" applyFont="1"/>
    <xf numFmtId="2" fontId="17" fillId="5" borderId="0" xfId="0" applyNumberFormat="1" applyFont="1" applyFill="1"/>
    <xf numFmtId="166" fontId="17" fillId="5" borderId="0" xfId="0" applyNumberFormat="1" applyFont="1" applyFill="1"/>
    <xf numFmtId="167" fontId="17" fillId="5" borderId="0" xfId="0" applyNumberFormat="1" applyFont="1" applyFill="1"/>
    <xf numFmtId="168" fontId="17" fillId="5" borderId="0" xfId="0" applyNumberFormat="1" applyFont="1" applyFill="1"/>
    <xf numFmtId="0" fontId="0" fillId="4" borderId="0" xfId="0" applyFill="1"/>
    <xf numFmtId="165" fontId="19" fillId="0" borderId="0" xfId="0" applyNumberFormat="1" applyFont="1"/>
    <xf numFmtId="0" fontId="21" fillId="0" borderId="0" xfId="0" applyFont="1"/>
    <xf numFmtId="166" fontId="19" fillId="0" borderId="0" xfId="0" applyNumberFormat="1" applyFont="1"/>
    <xf numFmtId="166" fontId="20" fillId="0" borderId="0" xfId="0" applyNumberFormat="1" applyFont="1"/>
    <xf numFmtId="169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1" applyFont="1"/>
    <xf numFmtId="165" fontId="0" fillId="0" borderId="0" xfId="1" applyNumberFormat="1" applyFont="1"/>
    <xf numFmtId="2" fontId="0" fillId="0" borderId="0" xfId="1" applyNumberFormat="1" applyFont="1"/>
    <xf numFmtId="10" fontId="0" fillId="0" borderId="0" xfId="0" applyNumberFormat="1"/>
    <xf numFmtId="10" fontId="20" fillId="0" borderId="0" xfId="0" applyNumberFormat="1" applyFont="1"/>
    <xf numFmtId="0" fontId="0" fillId="3" borderId="0" xfId="0" applyFill="1"/>
    <xf numFmtId="3" fontId="19" fillId="5" borderId="0" xfId="0" applyNumberFormat="1" applyFont="1" applyFill="1"/>
    <xf numFmtId="170" fontId="19" fillId="5" borderId="0" xfId="0" applyNumberFormat="1" applyFont="1" applyFill="1"/>
    <xf numFmtId="168" fontId="19" fillId="0" borderId="0" xfId="0" applyNumberFormat="1" applyFont="1"/>
    <xf numFmtId="166" fontId="22" fillId="0" borderId="0" xfId="0" applyNumberFormat="1" applyFont="1"/>
    <xf numFmtId="168" fontId="0" fillId="0" borderId="0" xfId="0" applyNumberFormat="1"/>
    <xf numFmtId="3" fontId="0" fillId="0" borderId="0" xfId="0" applyNumberFormat="1"/>
    <xf numFmtId="170" fontId="0" fillId="0" borderId="0" xfId="0" applyNumberFormat="1"/>
    <xf numFmtId="0" fontId="24" fillId="0" borderId="0" xfId="2"/>
    <xf numFmtId="0" fontId="23" fillId="6" borderId="0" xfId="0" applyFont="1" applyFill="1" applyAlignment="1">
      <alignment horizontal="center" vertical="center"/>
    </xf>
    <xf numFmtId="0" fontId="25" fillId="7" borderId="0" xfId="2" applyFont="1" applyFill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2AC73C-3D7A-4BF0-8823-6950B3A2E7E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00b2a6c-5a1b-4465-b464-4d2a9b6d962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k_QBqPZNkdEYOCHSCVSIDzXzKsG8dEGS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07-1CFA-4C84-8CA4-C07F8F27F86F}">
  <dimension ref="B3:T21"/>
  <sheetViews>
    <sheetView tabSelected="1" zoomScale="94" workbookViewId="0">
      <selection activeCell="B10" sqref="B10:T11"/>
    </sheetView>
  </sheetViews>
  <sheetFormatPr baseColWidth="10" defaultColWidth="8.83203125" defaultRowHeight="15" x14ac:dyDescent="0.2"/>
  <sheetData>
    <row r="3" spans="2:20" x14ac:dyDescent="0.2">
      <c r="B3" s="56" t="s">
        <v>210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</row>
    <row r="4" spans="2:20" x14ac:dyDescent="0.2"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</row>
    <row r="5" spans="2:20" x14ac:dyDescent="0.2"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</row>
    <row r="6" spans="2:20" x14ac:dyDescent="0.2"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</row>
    <row r="8" spans="2:20" ht="14.5" customHeight="1" x14ac:dyDescent="0.2">
      <c r="B8" s="56" t="s">
        <v>209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2:20" ht="14.5" customHeight="1" x14ac:dyDescent="0.2"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2:20" ht="14.5" customHeight="1" x14ac:dyDescent="0.2">
      <c r="B10" s="56" t="s">
        <v>213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2:20" ht="14.5" customHeight="1" x14ac:dyDescent="0.2"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3" spans="2:20" x14ac:dyDescent="0.2">
      <c r="B13" s="56" t="s">
        <v>212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2:20" x14ac:dyDescent="0.2"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2:20" x14ac:dyDescent="0.2">
      <c r="B15" s="57" t="s">
        <v>211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</row>
    <row r="21" spans="10:10" x14ac:dyDescent="0.2">
      <c r="J21" s="55"/>
    </row>
  </sheetData>
  <mergeCells count="5">
    <mergeCell ref="B3:T6"/>
    <mergeCell ref="B8:T9"/>
    <mergeCell ref="B10:T11"/>
    <mergeCell ref="B13:T14"/>
    <mergeCell ref="B15:T15"/>
  </mergeCells>
  <hyperlinks>
    <hyperlink ref="B15" r:id="rId1" xr:uid="{7ECAFD16-02CE-4F53-AB3E-2DA3CE8DDF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47DD-A9BF-40CF-828F-C7087DE5D768}">
  <dimension ref="A1:G42"/>
  <sheetViews>
    <sheetView zoomScale="90" workbookViewId="0">
      <selection activeCell="B8" sqref="B8"/>
    </sheetView>
  </sheetViews>
  <sheetFormatPr baseColWidth="10" defaultColWidth="8.5" defaultRowHeight="15" x14ac:dyDescent="0.2"/>
  <cols>
    <col min="1" max="1" width="47.33203125" customWidth="1"/>
    <col min="2" max="7" width="12.5" customWidth="1"/>
    <col min="8" max="8" width="55" customWidth="1"/>
  </cols>
  <sheetData>
    <row r="1" spans="1:7" ht="19" x14ac:dyDescent="0.25">
      <c r="A1" s="23" t="s">
        <v>172</v>
      </c>
    </row>
    <row r="2" spans="1:7" ht="15" customHeight="1" x14ac:dyDescent="0.2">
      <c r="A2" s="24"/>
    </row>
    <row r="4" spans="1:7" ht="15" customHeight="1" x14ac:dyDescent="0.2">
      <c r="B4" s="25" t="s">
        <v>173</v>
      </c>
      <c r="C4" s="25" t="s">
        <v>90</v>
      </c>
      <c r="D4" s="25" t="s">
        <v>91</v>
      </c>
      <c r="E4" s="25" t="s">
        <v>92</v>
      </c>
      <c r="F4" s="25" t="s">
        <v>93</v>
      </c>
      <c r="G4" s="25" t="s">
        <v>94</v>
      </c>
    </row>
    <row r="6" spans="1:7" ht="15" customHeight="1" x14ac:dyDescent="0.2">
      <c r="A6" s="26" t="s">
        <v>174</v>
      </c>
      <c r="B6" s="26"/>
      <c r="C6" s="26"/>
      <c r="D6" s="26"/>
      <c r="E6" s="26"/>
      <c r="F6" s="26"/>
      <c r="G6" s="26"/>
    </row>
    <row r="7" spans="1:7" ht="15" customHeight="1" x14ac:dyDescent="0.2">
      <c r="A7" s="27" t="s">
        <v>63</v>
      </c>
      <c r="B7" s="28">
        <v>4.2500000000000003E-2</v>
      </c>
    </row>
    <row r="8" spans="1:7" ht="15" customHeight="1" x14ac:dyDescent="0.2">
      <c r="A8" s="27" t="s">
        <v>65</v>
      </c>
      <c r="B8" s="30">
        <v>1.85</v>
      </c>
    </row>
    <row r="9" spans="1:7" ht="15" customHeight="1" x14ac:dyDescent="0.2">
      <c r="A9" s="27" t="s">
        <v>67</v>
      </c>
      <c r="B9" s="28">
        <v>5.5E-2</v>
      </c>
    </row>
    <row r="10" spans="1:7" ht="15" customHeight="1" x14ac:dyDescent="0.2">
      <c r="A10" s="27" t="s">
        <v>72</v>
      </c>
      <c r="B10" s="28">
        <v>7.4999999999999997E-2</v>
      </c>
    </row>
    <row r="11" spans="1:7" ht="15" customHeight="1" x14ac:dyDescent="0.2">
      <c r="A11" s="27" t="s">
        <v>74</v>
      </c>
      <c r="B11" s="28">
        <v>0.21</v>
      </c>
    </row>
    <row r="12" spans="1:7" ht="15" customHeight="1" x14ac:dyDescent="0.2">
      <c r="A12" s="27" t="s">
        <v>175</v>
      </c>
      <c r="B12" s="31">
        <v>400</v>
      </c>
    </row>
    <row r="13" spans="1:7" ht="15" customHeight="1" x14ac:dyDescent="0.2">
      <c r="A13" s="27" t="s">
        <v>176</v>
      </c>
      <c r="B13" s="32">
        <v>8.9</v>
      </c>
    </row>
    <row r="14" spans="1:7" ht="15" customHeight="1" x14ac:dyDescent="0.2">
      <c r="A14" s="27" t="s">
        <v>107</v>
      </c>
      <c r="B14" s="28">
        <v>2.5000000000000001E-2</v>
      </c>
    </row>
    <row r="16" spans="1:7" ht="15" customHeight="1" x14ac:dyDescent="0.2">
      <c r="A16" s="26" t="s">
        <v>177</v>
      </c>
      <c r="B16" s="26"/>
      <c r="C16" s="26"/>
      <c r="D16" s="26"/>
      <c r="E16" s="26"/>
      <c r="F16" s="26"/>
      <c r="G16" s="26"/>
    </row>
    <row r="17" spans="1:7" ht="15" customHeight="1" x14ac:dyDescent="0.2">
      <c r="A17" s="27" t="s">
        <v>178</v>
      </c>
      <c r="C17" s="28">
        <v>0.12</v>
      </c>
      <c r="D17" s="28">
        <v>0.25</v>
      </c>
      <c r="E17" s="28">
        <v>0.35</v>
      </c>
      <c r="F17" s="28">
        <v>0.28000000000000003</v>
      </c>
      <c r="G17" s="28">
        <v>0.18</v>
      </c>
    </row>
    <row r="18" spans="1:7" ht="15" customHeight="1" x14ac:dyDescent="0.2">
      <c r="A18" s="27" t="s">
        <v>179</v>
      </c>
      <c r="D18" s="33">
        <v>68</v>
      </c>
      <c r="G18" s="33">
        <v>55</v>
      </c>
    </row>
    <row r="19" spans="1:7" ht="15" customHeight="1" x14ac:dyDescent="0.2">
      <c r="A19" s="27" t="s">
        <v>180</v>
      </c>
      <c r="B19" s="28">
        <v>0.02</v>
      </c>
    </row>
    <row r="21" spans="1:7" ht="15" customHeight="1" x14ac:dyDescent="0.2">
      <c r="A21" s="26" t="s">
        <v>181</v>
      </c>
      <c r="B21" s="26"/>
      <c r="C21" s="26"/>
      <c r="D21" s="26"/>
      <c r="E21" s="26"/>
      <c r="F21" s="26"/>
      <c r="G21" s="26"/>
    </row>
    <row r="22" spans="1:7" ht="15" customHeight="1" x14ac:dyDescent="0.2">
      <c r="A22" s="27" t="s">
        <v>128</v>
      </c>
      <c r="B22" s="33">
        <v>21</v>
      </c>
      <c r="C22" s="33">
        <v>18.5</v>
      </c>
      <c r="D22" s="33">
        <v>15.8</v>
      </c>
      <c r="E22" s="33">
        <v>13.2</v>
      </c>
      <c r="F22" s="33">
        <v>11.5</v>
      </c>
      <c r="G22" s="33">
        <v>10.199999999999999</v>
      </c>
    </row>
    <row r="23" spans="1:7" ht="15" customHeight="1" x14ac:dyDescent="0.2">
      <c r="A23" s="27" t="s">
        <v>129</v>
      </c>
      <c r="B23" s="33">
        <v>45</v>
      </c>
      <c r="C23" s="33">
        <v>42</v>
      </c>
      <c r="D23" s="33">
        <v>38.5</v>
      </c>
      <c r="E23" s="33">
        <v>34</v>
      </c>
      <c r="F23" s="33">
        <v>30.5</v>
      </c>
      <c r="G23" s="33">
        <v>28</v>
      </c>
    </row>
    <row r="25" spans="1:7" ht="15" customHeight="1" x14ac:dyDescent="0.2">
      <c r="A25" s="26" t="s">
        <v>182</v>
      </c>
      <c r="B25" s="26"/>
      <c r="C25" s="26"/>
      <c r="D25" s="26"/>
      <c r="E25" s="26"/>
      <c r="F25" s="26"/>
      <c r="G25" s="26"/>
    </row>
    <row r="26" spans="1:7" ht="15" customHeight="1" x14ac:dyDescent="0.2">
      <c r="A26" s="27" t="s">
        <v>132</v>
      </c>
      <c r="C26" s="28">
        <v>0.14000000000000001</v>
      </c>
      <c r="D26" s="28">
        <v>0.115</v>
      </c>
      <c r="E26" s="28">
        <v>0.09</v>
      </c>
      <c r="F26" s="28">
        <v>7.4999999999999997E-2</v>
      </c>
      <c r="G26" s="28">
        <v>6.5000000000000002E-2</v>
      </c>
    </row>
    <row r="27" spans="1:7" ht="15" customHeight="1" x14ac:dyDescent="0.2">
      <c r="A27" s="27" t="s">
        <v>134</v>
      </c>
      <c r="C27" s="28">
        <v>0.15</v>
      </c>
      <c r="D27" s="28">
        <v>0.125</v>
      </c>
      <c r="E27" s="28">
        <v>0.105</v>
      </c>
      <c r="F27" s="28">
        <v>0.09</v>
      </c>
      <c r="G27" s="28">
        <v>0.08</v>
      </c>
    </row>
    <row r="29" spans="1:7" ht="15" customHeight="1" x14ac:dyDescent="0.2">
      <c r="A29" s="26" t="s">
        <v>183</v>
      </c>
      <c r="B29" s="26"/>
      <c r="C29" s="26"/>
      <c r="D29" s="26"/>
      <c r="E29" s="26"/>
      <c r="F29" s="26"/>
      <c r="G29" s="26"/>
    </row>
    <row r="30" spans="1:7" ht="15" customHeight="1" x14ac:dyDescent="0.2">
      <c r="A30" s="27" t="s">
        <v>184</v>
      </c>
      <c r="B30" s="33">
        <v>100</v>
      </c>
    </row>
    <row r="31" spans="1:7" ht="15" customHeight="1" x14ac:dyDescent="0.2">
      <c r="A31" s="27" t="s">
        <v>185</v>
      </c>
      <c r="C31" s="28">
        <v>0.65</v>
      </c>
      <c r="G31" s="28">
        <v>0.9</v>
      </c>
    </row>
    <row r="32" spans="1:7" ht="15" customHeight="1" x14ac:dyDescent="0.2">
      <c r="A32" s="27" t="s">
        <v>148</v>
      </c>
      <c r="B32" s="33">
        <v>12</v>
      </c>
    </row>
    <row r="33" spans="1:7" ht="15" customHeight="1" x14ac:dyDescent="0.2">
      <c r="A33" s="27" t="s">
        <v>186</v>
      </c>
      <c r="C33" s="28">
        <v>3.5000000000000003E-2</v>
      </c>
      <c r="G33" s="28">
        <v>2.5000000000000001E-2</v>
      </c>
    </row>
    <row r="35" spans="1:7" ht="15" customHeight="1" x14ac:dyDescent="0.2">
      <c r="A35" s="26" t="s">
        <v>187</v>
      </c>
      <c r="B35" s="26"/>
      <c r="C35" s="26"/>
      <c r="D35" s="26"/>
      <c r="E35" s="26"/>
      <c r="F35" s="26"/>
      <c r="G35" s="26"/>
    </row>
    <row r="36" spans="1:7" ht="15" customHeight="1" x14ac:dyDescent="0.2">
      <c r="A36" s="27" t="s">
        <v>188</v>
      </c>
      <c r="B36" s="31">
        <v>0</v>
      </c>
    </row>
    <row r="37" spans="1:7" ht="15" customHeight="1" x14ac:dyDescent="0.2">
      <c r="A37" s="27" t="s">
        <v>189</v>
      </c>
      <c r="B37" s="31">
        <v>0</v>
      </c>
    </row>
    <row r="38" spans="1:7" ht="15" customHeight="1" x14ac:dyDescent="0.2">
      <c r="A38" s="27" t="s">
        <v>190</v>
      </c>
      <c r="B38" s="28">
        <v>0.5</v>
      </c>
    </row>
    <row r="39" spans="1:7" ht="15" customHeight="1" x14ac:dyDescent="0.2">
      <c r="A39" s="27" t="s">
        <v>191</v>
      </c>
      <c r="B39" s="28">
        <v>0.05</v>
      </c>
    </row>
    <row r="40" spans="1:7" ht="15" customHeight="1" x14ac:dyDescent="0.2">
      <c r="A40" s="27" t="s">
        <v>192</v>
      </c>
      <c r="B40" s="31">
        <v>400</v>
      </c>
    </row>
    <row r="42" spans="1:7" ht="15" customHeight="1" x14ac:dyDescent="0.2">
      <c r="A42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F1B9-7B60-485B-AEFA-584028888885}">
  <dimension ref="A1:H24"/>
  <sheetViews>
    <sheetView topLeftCell="A2" workbookViewId="0">
      <selection activeCell="D23" sqref="D23"/>
    </sheetView>
  </sheetViews>
  <sheetFormatPr baseColWidth="10" defaultColWidth="8.83203125" defaultRowHeight="15" x14ac:dyDescent="0.2"/>
  <cols>
    <col min="1" max="3" width="32.83203125" customWidth="1"/>
    <col min="4" max="4" width="17.5" bestFit="1" customWidth="1"/>
  </cols>
  <sheetData>
    <row r="1" spans="1:8" ht="19" x14ac:dyDescent="0.25">
      <c r="A1" s="1" t="s">
        <v>0</v>
      </c>
    </row>
    <row r="2" spans="1:8" x14ac:dyDescent="0.2">
      <c r="A2" s="3" t="s">
        <v>1</v>
      </c>
    </row>
    <row r="4" spans="1:8" x14ac:dyDescent="0.2">
      <c r="A4" s="2"/>
      <c r="B4" s="4" t="s">
        <v>2</v>
      </c>
      <c r="C4" s="4" t="s">
        <v>3</v>
      </c>
      <c r="D4" s="4" t="s">
        <v>90</v>
      </c>
      <c r="E4" s="4" t="s">
        <v>91</v>
      </c>
      <c r="F4" s="4" t="s">
        <v>92</v>
      </c>
      <c r="G4" s="4" t="s">
        <v>93</v>
      </c>
      <c r="H4" s="4" t="s">
        <v>94</v>
      </c>
    </row>
    <row r="6" spans="1:8" x14ac:dyDescent="0.2">
      <c r="A6" t="s">
        <v>4</v>
      </c>
      <c r="B6" s="5">
        <v>3000</v>
      </c>
      <c r="C6" s="5">
        <v>4500</v>
      </c>
      <c r="D6" s="41">
        <f>'Revenue &amp; Cost Drivers'!C13</f>
        <v>4835.6756756756758</v>
      </c>
      <c r="E6" s="41">
        <f>'Revenue &amp; Cost Drivers'!D13</f>
        <v>5789.1891891891892</v>
      </c>
      <c r="F6" s="41">
        <f>'Revenue &amp; Cost Drivers'!E13</f>
        <v>7317.364864864865</v>
      </c>
      <c r="G6" s="41">
        <f>'Revenue &amp; Cost Drivers'!F13</f>
        <v>8728.7351351351354</v>
      </c>
      <c r="H6" s="41">
        <f>'Revenue &amp; Cost Drivers'!G13</f>
        <v>9547.6670270270261</v>
      </c>
    </row>
    <row r="7" spans="1:8" x14ac:dyDescent="0.2">
      <c r="A7" t="s">
        <v>5</v>
      </c>
      <c r="B7" s="6"/>
      <c r="C7" s="6">
        <f>(C6-B6)/B6</f>
        <v>0.5</v>
      </c>
      <c r="D7" s="6">
        <f>(D6-C6)/C6</f>
        <v>7.4594594594594638E-2</v>
      </c>
      <c r="E7" s="6">
        <f t="shared" ref="E7:H7" si="0">(E6-D6)/D6</f>
        <v>0.19718309859154926</v>
      </c>
      <c r="F7" s="6">
        <f t="shared" si="0"/>
        <v>0.26397058823529412</v>
      </c>
      <c r="G7" s="6">
        <f t="shared" si="0"/>
        <v>0.19287958115183246</v>
      </c>
      <c r="H7" s="6">
        <f t="shared" si="0"/>
        <v>9.3820224719100981E-2</v>
      </c>
    </row>
    <row r="8" spans="1:8" x14ac:dyDescent="0.2">
      <c r="A8" t="s">
        <v>6</v>
      </c>
      <c r="B8" s="5">
        <v>2400</v>
      </c>
      <c r="C8" s="5">
        <v>3375</v>
      </c>
      <c r="D8" s="41">
        <f>'Revenue &amp; Cost Drivers'!C19</f>
        <v>4039.7456279809221</v>
      </c>
      <c r="E8" s="41">
        <f>'Revenue &amp; Cost Drivers'!D19</f>
        <v>4532.1939586645467</v>
      </c>
      <c r="F8" s="41">
        <f>'Revenue &amp; Cost Drivers'!E19</f>
        <v>5318.4419713831485</v>
      </c>
      <c r="G8" s="41">
        <f>'Revenue &amp; Cost Drivers'!F19</f>
        <v>6057.6152623211447</v>
      </c>
      <c r="H8" s="41">
        <f>'Revenue &amp; Cost Drivers'!G19</f>
        <v>6501.2634658187599</v>
      </c>
    </row>
    <row r="9" spans="1:8" x14ac:dyDescent="0.2">
      <c r="A9" s="2" t="s">
        <v>7</v>
      </c>
      <c r="B9" s="8">
        <f>B6-B8</f>
        <v>600</v>
      </c>
      <c r="C9" s="8">
        <f>C6-C8</f>
        <v>1125</v>
      </c>
      <c r="D9" s="41">
        <f>D6-D8</f>
        <v>795.93004769475374</v>
      </c>
      <c r="E9" s="41">
        <f t="shared" ref="E9:H9" si="1">E6-E8</f>
        <v>1256.9952305246425</v>
      </c>
      <c r="F9" s="41">
        <f t="shared" si="1"/>
        <v>1998.9228934817165</v>
      </c>
      <c r="G9" s="41">
        <f t="shared" si="1"/>
        <v>2671.1198728139907</v>
      </c>
      <c r="H9" s="41">
        <f t="shared" si="1"/>
        <v>3046.4035612082662</v>
      </c>
    </row>
    <row r="10" spans="1:8" x14ac:dyDescent="0.2">
      <c r="A10" t="s">
        <v>8</v>
      </c>
      <c r="B10" s="5">
        <v>300</v>
      </c>
      <c r="C10" s="5">
        <v>360</v>
      </c>
      <c r="D10" s="40">
        <f>'Revenue &amp; Cost Drivers'!C22</f>
        <v>676.99459459459467</v>
      </c>
      <c r="E10" s="40">
        <f>'Revenue &amp; Cost Drivers'!D22</f>
        <v>665.75675675675677</v>
      </c>
      <c r="F10" s="40">
        <f>'Revenue &amp; Cost Drivers'!E22</f>
        <v>658.56283783783783</v>
      </c>
      <c r="G10" s="40">
        <f>'Revenue &amp; Cost Drivers'!F22</f>
        <v>654.65513513513508</v>
      </c>
      <c r="H10" s="40">
        <f>'Revenue &amp; Cost Drivers'!G22</f>
        <v>620.59835675675674</v>
      </c>
    </row>
    <row r="11" spans="1:8" x14ac:dyDescent="0.2">
      <c r="A11" t="s">
        <v>9</v>
      </c>
      <c r="B11" s="5">
        <v>360</v>
      </c>
      <c r="C11" s="5">
        <v>450</v>
      </c>
      <c r="D11" s="40">
        <f>'Revenue &amp; Cost Drivers'!C24</f>
        <v>725.35135135135135</v>
      </c>
      <c r="E11" s="40">
        <f>'Revenue &amp; Cost Drivers'!D24</f>
        <v>723.64864864864865</v>
      </c>
      <c r="F11" s="40">
        <f>'Revenue &amp; Cost Drivers'!E24</f>
        <v>768.32331081081077</v>
      </c>
      <c r="G11" s="40">
        <f>'Revenue &amp; Cost Drivers'!F24</f>
        <v>785.58616216216217</v>
      </c>
      <c r="H11" s="40">
        <f>'Revenue &amp; Cost Drivers'!G24</f>
        <v>763.81336216216209</v>
      </c>
    </row>
    <row r="12" spans="1:8" x14ac:dyDescent="0.2">
      <c r="A12" s="2" t="s">
        <v>10</v>
      </c>
      <c r="B12" s="8">
        <f>B9-B10-B11</f>
        <v>-60</v>
      </c>
      <c r="C12" s="8">
        <f>C9-C10-C11</f>
        <v>315</v>
      </c>
      <c r="D12" s="41">
        <f>D9-D10-D11</f>
        <v>-606.41589825119229</v>
      </c>
      <c r="E12" s="41">
        <f t="shared" ref="E12:H12" si="2">E9-E10-E11</f>
        <v>-132.41017488076295</v>
      </c>
      <c r="F12" s="41">
        <f t="shared" si="2"/>
        <v>572.03674483306793</v>
      </c>
      <c r="G12" s="41">
        <f t="shared" si="2"/>
        <v>1230.8785755166937</v>
      </c>
      <c r="H12" s="41">
        <f t="shared" si="2"/>
        <v>1661.9918422893472</v>
      </c>
    </row>
    <row r="13" spans="1:8" x14ac:dyDescent="0.2">
      <c r="A13" t="s">
        <v>11</v>
      </c>
      <c r="B13" s="5">
        <v>150</v>
      </c>
      <c r="C13" s="5">
        <v>200</v>
      </c>
      <c r="D13" s="41">
        <f>'Capacity Expansion'!C26</f>
        <v>227.42857142857144</v>
      </c>
      <c r="E13" s="41">
        <f>'Capacity Expansion'!D26</f>
        <v>225.48922025359002</v>
      </c>
      <c r="F13" s="41">
        <f>'Capacity Expansion'!E26</f>
        <v>235.8262560796681</v>
      </c>
      <c r="G13" s="41">
        <f>'Capacity Expansion'!F26</f>
        <v>260.40983254405563</v>
      </c>
      <c r="H13" s="41">
        <f>'Capacity Expansion'!G26</f>
        <v>283.38045114743176</v>
      </c>
    </row>
    <row r="14" spans="1:8" x14ac:dyDescent="0.2">
      <c r="A14" s="2" t="s">
        <v>12</v>
      </c>
      <c r="B14" s="8">
        <f>B12-B13</f>
        <v>-210</v>
      </c>
      <c r="C14" s="8">
        <f>C12-C13</f>
        <v>115</v>
      </c>
      <c r="D14" s="41">
        <f>D12-D13</f>
        <v>-833.84446967976373</v>
      </c>
      <c r="E14" s="41">
        <f t="shared" ref="E14:H14" si="3">E12-E13</f>
        <v>-357.89939513435297</v>
      </c>
      <c r="F14" s="41">
        <f t="shared" si="3"/>
        <v>336.21048875339983</v>
      </c>
      <c r="G14" s="41">
        <f t="shared" si="3"/>
        <v>970.46874297263798</v>
      </c>
      <c r="H14" s="41">
        <f t="shared" si="3"/>
        <v>1378.6113911419154</v>
      </c>
    </row>
    <row r="15" spans="1:8" x14ac:dyDescent="0.2">
      <c r="A15" t="s">
        <v>13</v>
      </c>
      <c r="B15" s="5">
        <v>75</v>
      </c>
      <c r="C15" s="5">
        <v>85</v>
      </c>
      <c r="D15" s="41">
        <f>'Debt Schedule'!C24</f>
        <v>155.25</v>
      </c>
      <c r="E15" s="41">
        <f>'Debt Schedule'!D24</f>
        <v>155.77404702213525</v>
      </c>
      <c r="F15" s="41">
        <f>'Debt Schedule'!E24</f>
        <v>162.24145025118591</v>
      </c>
      <c r="G15" s="41">
        <f>'Debt Schedule'!F24</f>
        <v>175.78509138267989</v>
      </c>
      <c r="H15" s="41">
        <f>'Debt Schedule'!G24</f>
        <v>188.77955687779721</v>
      </c>
    </row>
    <row r="16" spans="1:8" x14ac:dyDescent="0.2">
      <c r="A16" s="2" t="s">
        <v>14</v>
      </c>
      <c r="B16" s="8">
        <f>B14-B15</f>
        <v>-285</v>
      </c>
      <c r="C16" s="8">
        <f>C14-C15</f>
        <v>30</v>
      </c>
      <c r="D16" s="41">
        <f>D14-D15</f>
        <v>-989.09446967976373</v>
      </c>
      <c r="E16" s="41">
        <f t="shared" ref="E16:H16" si="4">E14-E15</f>
        <v>-513.67344215648825</v>
      </c>
      <c r="F16" s="41">
        <f t="shared" si="4"/>
        <v>173.96903850221392</v>
      </c>
      <c r="G16" s="41">
        <f t="shared" si="4"/>
        <v>794.68365158995812</v>
      </c>
      <c r="H16" s="41">
        <f t="shared" si="4"/>
        <v>1189.8318342641182</v>
      </c>
    </row>
    <row r="17" spans="1:8" x14ac:dyDescent="0.2">
      <c r="A17" t="s">
        <v>15</v>
      </c>
      <c r="B17" s="5">
        <v>0</v>
      </c>
      <c r="C17" s="5">
        <v>7.5</v>
      </c>
      <c r="D17">
        <f>IF(D16&gt;0,D16*WACC!$B$12,0)</f>
        <v>0</v>
      </c>
      <c r="E17">
        <f>IF(E16&gt;0,E16*WACC!$B$12,0)</f>
        <v>0</v>
      </c>
      <c r="F17" s="41">
        <f>IF(F16&gt;0,F16*WACC!$B$12,0)</f>
        <v>36.53349808546492</v>
      </c>
      <c r="G17" s="41">
        <f>IF(G16&gt;0,G16*WACC!$B$12,0)</f>
        <v>166.88356683389119</v>
      </c>
      <c r="H17" s="41">
        <f>IF(H16&gt;0,H16*WACC!$B$12,0)</f>
        <v>249.86468519546483</v>
      </c>
    </row>
    <row r="18" spans="1:8" x14ac:dyDescent="0.2">
      <c r="A18" s="2" t="s">
        <v>16</v>
      </c>
      <c r="B18" s="8">
        <f>B16-B17</f>
        <v>-285</v>
      </c>
      <c r="C18" s="8">
        <f>C16-C17</f>
        <v>22.5</v>
      </c>
      <c r="D18" s="41">
        <f>D16-D17</f>
        <v>-989.09446967976373</v>
      </c>
      <c r="E18" s="41">
        <f t="shared" ref="E18:H18" si="5">E16-E17</f>
        <v>-513.67344215648825</v>
      </c>
      <c r="F18" s="41">
        <f t="shared" si="5"/>
        <v>137.43554041674901</v>
      </c>
      <c r="G18" s="41">
        <f t="shared" si="5"/>
        <v>627.80008475606689</v>
      </c>
      <c r="H18" s="41">
        <f t="shared" si="5"/>
        <v>939.96714906865338</v>
      </c>
    </row>
    <row r="20" spans="1:8" x14ac:dyDescent="0.2">
      <c r="A20" s="2" t="s">
        <v>17</v>
      </c>
      <c r="B20" s="6">
        <f>B9/B6</f>
        <v>0.2</v>
      </c>
      <c r="C20" s="6">
        <f>C9/C6</f>
        <v>0.25</v>
      </c>
      <c r="D20" s="43">
        <f>D9/D6</f>
        <v>0.16459541563104119</v>
      </c>
      <c r="E20" s="43">
        <f t="shared" ref="E20:H20" si="6">E9/E6</f>
        <v>0.21712802768166092</v>
      </c>
      <c r="F20" s="43">
        <f t="shared" si="6"/>
        <v>0.27317523868186011</v>
      </c>
      <c r="G20" s="43">
        <f t="shared" si="6"/>
        <v>0.30601454064771977</v>
      </c>
      <c r="H20" s="43">
        <f t="shared" si="6"/>
        <v>0.31907308377896609</v>
      </c>
    </row>
    <row r="21" spans="1:8" x14ac:dyDescent="0.2">
      <c r="A21" t="s">
        <v>18</v>
      </c>
      <c r="B21" s="6">
        <f>B12/B6</f>
        <v>-0.02</v>
      </c>
      <c r="C21" s="6">
        <f>C12/C6</f>
        <v>7.0000000000000007E-2</v>
      </c>
      <c r="D21" s="43">
        <f>D12/D6</f>
        <v>-0.12540458436895882</v>
      </c>
      <c r="E21" s="43">
        <f t="shared" ref="E21:H21" si="7">E12/E6</f>
        <v>-2.2871972318339071E-2</v>
      </c>
      <c r="F21" s="43">
        <f t="shared" si="7"/>
        <v>7.8175238681860118E-2</v>
      </c>
      <c r="G21" s="43">
        <f t="shared" si="7"/>
        <v>0.14101454064771982</v>
      </c>
      <c r="H21" s="43">
        <f t="shared" si="7"/>
        <v>0.17407308377896605</v>
      </c>
    </row>
    <row r="22" spans="1:8" x14ac:dyDescent="0.2">
      <c r="A22" s="2" t="s">
        <v>19</v>
      </c>
      <c r="B22" s="6">
        <f>B18/B6</f>
        <v>-9.5000000000000001E-2</v>
      </c>
      <c r="C22" s="6">
        <f>C18/C6</f>
        <v>5.0000000000000001E-3</v>
      </c>
      <c r="D22" s="43">
        <f>D18/D6</f>
        <v>-0.20454110987117849</v>
      </c>
      <c r="E22" s="43">
        <f t="shared" ref="E22:H22" si="8">E18/E6</f>
        <v>-8.8729772921522246E-2</v>
      </c>
      <c r="F22" s="43">
        <f t="shared" si="8"/>
        <v>1.878210844407403E-2</v>
      </c>
      <c r="G22" s="43">
        <f t="shared" si="8"/>
        <v>7.1923374353407676E-2</v>
      </c>
      <c r="H22" s="43">
        <f t="shared" si="8"/>
        <v>9.8449929852794882E-2</v>
      </c>
    </row>
    <row r="24" spans="1:8" x14ac:dyDescent="0.2">
      <c r="A2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806A-A6A2-4F07-A71A-6835C68CF136}">
  <dimension ref="A1:H33"/>
  <sheetViews>
    <sheetView topLeftCell="A8" workbookViewId="0">
      <selection activeCell="H7" sqref="H7"/>
    </sheetView>
  </sheetViews>
  <sheetFormatPr baseColWidth="10" defaultColWidth="8.83203125" defaultRowHeight="15" x14ac:dyDescent="0.2"/>
  <cols>
    <col min="1" max="3" width="36.33203125" customWidth="1"/>
    <col min="4" max="4" width="16.6640625" bestFit="1" customWidth="1"/>
  </cols>
  <sheetData>
    <row r="1" spans="1:8" ht="19" x14ac:dyDescent="0.25">
      <c r="A1" s="1" t="s">
        <v>0</v>
      </c>
    </row>
    <row r="2" spans="1:8" x14ac:dyDescent="0.2">
      <c r="A2" s="3" t="s">
        <v>20</v>
      </c>
    </row>
    <row r="4" spans="1:8" x14ac:dyDescent="0.2">
      <c r="B4" s="4" t="s">
        <v>2</v>
      </c>
      <c r="C4" s="4" t="s">
        <v>3</v>
      </c>
      <c r="D4" s="4" t="s">
        <v>90</v>
      </c>
      <c r="E4" s="4" t="s">
        <v>91</v>
      </c>
      <c r="F4" s="4" t="s">
        <v>92</v>
      </c>
      <c r="G4" s="4" t="s">
        <v>93</v>
      </c>
      <c r="H4" s="4" t="s">
        <v>94</v>
      </c>
    </row>
    <row r="5" spans="1:8" x14ac:dyDescent="0.2">
      <c r="A5" s="10" t="s">
        <v>21</v>
      </c>
      <c r="B5" s="11"/>
      <c r="C5" s="11"/>
    </row>
    <row r="6" spans="1:8" x14ac:dyDescent="0.2">
      <c r="A6" t="s">
        <v>22</v>
      </c>
      <c r="B6" s="5">
        <v>375</v>
      </c>
      <c r="C6" s="5">
        <v>482.5</v>
      </c>
      <c r="D6" s="41">
        <f>'Cash Flow Statement'!D25</f>
        <v>400</v>
      </c>
      <c r="E6" s="41">
        <f>'Cash Flow Statement'!E25</f>
        <v>400</v>
      </c>
      <c r="F6" s="41">
        <f>'Cash Flow Statement'!F25</f>
        <v>400</v>
      </c>
      <c r="G6" s="41">
        <f>'Cash Flow Statement'!G25</f>
        <v>728.866296857105</v>
      </c>
      <c r="H6" s="41">
        <f>'Cash Flow Statement'!H25</f>
        <v>1515.5568711708891</v>
      </c>
    </row>
    <row r="7" spans="1:8" x14ac:dyDescent="0.2">
      <c r="A7" t="s">
        <v>23</v>
      </c>
      <c r="B7" s="5">
        <v>300</v>
      </c>
      <c r="C7" s="5">
        <v>450</v>
      </c>
      <c r="D7" s="41">
        <f>'Income Statement'!D6*('Balance Sheet'!D29/365)</f>
        <v>483.56756756756761</v>
      </c>
      <c r="E7" s="41">
        <f>'Income Statement'!E6*('Balance Sheet'!E29/365)</f>
        <v>578.91891891891896</v>
      </c>
      <c r="F7" s="41">
        <f>'Income Statement'!F6*('Balance Sheet'!F29/365)</f>
        <v>731.73648648648657</v>
      </c>
      <c r="G7" s="41">
        <f>'Income Statement'!G6*('Balance Sheet'!G29/365)</f>
        <v>872.87351351351356</v>
      </c>
      <c r="H7" s="41">
        <f>'Income Statement'!H6*('Balance Sheet'!H29/365)</f>
        <v>954.76670270270267</v>
      </c>
    </row>
    <row r="8" spans="1:8" x14ac:dyDescent="0.2">
      <c r="A8" t="s">
        <v>24</v>
      </c>
      <c r="B8" s="5">
        <v>450</v>
      </c>
      <c r="C8" s="5">
        <v>675</v>
      </c>
      <c r="D8" s="41">
        <f>'Income Statement'!D8*('Balance Sheet'!D30/365)</f>
        <v>807.94912559618444</v>
      </c>
      <c r="E8" s="41">
        <f>'Income Statement'!E8*('Balance Sheet'!E30/365)</f>
        <v>906.43879173290941</v>
      </c>
      <c r="F8" s="41">
        <f>'Income Statement'!F8*('Balance Sheet'!F30/365)</f>
        <v>1063.6883942766297</v>
      </c>
      <c r="G8" s="41">
        <f>'Income Statement'!G8*('Balance Sheet'!G30/365)</f>
        <v>1211.5230524642291</v>
      </c>
      <c r="H8" s="41">
        <f>'Income Statement'!H8*('Balance Sheet'!H30/365)</f>
        <v>1300.2526931637522</v>
      </c>
    </row>
    <row r="9" spans="1:8" x14ac:dyDescent="0.2">
      <c r="A9" s="2" t="s">
        <v>25</v>
      </c>
      <c r="B9" s="8">
        <f>SUM(B6:B8)</f>
        <v>1125</v>
      </c>
      <c r="C9" s="8">
        <f>SUM(C6:C8)</f>
        <v>1607.5</v>
      </c>
      <c r="D9" s="41">
        <f>SUM(D6:D8)</f>
        <v>1691.5166931637521</v>
      </c>
      <c r="E9" s="41">
        <f t="shared" ref="E9:H9" si="0">SUM(E6:E8)</f>
        <v>1885.3577106518283</v>
      </c>
      <c r="F9" s="41">
        <f t="shared" si="0"/>
        <v>2195.4248807631166</v>
      </c>
      <c r="G9" s="41">
        <f t="shared" si="0"/>
        <v>2813.2628628348475</v>
      </c>
      <c r="H9" s="41">
        <f t="shared" si="0"/>
        <v>3770.5762670373438</v>
      </c>
    </row>
    <row r="10" spans="1:8" x14ac:dyDescent="0.2">
      <c r="A10" t="s">
        <v>26</v>
      </c>
      <c r="B10" s="5">
        <v>2625</v>
      </c>
      <c r="C10" s="5">
        <v>2985</v>
      </c>
      <c r="D10" s="41">
        <f>'Capacity Expansion'!C27</f>
        <v>2959.5460158283686</v>
      </c>
      <c r="E10" s="41">
        <f>'Capacity Expansion'!D27</f>
        <v>3095.2196110456434</v>
      </c>
      <c r="F10" s="41">
        <f>'Capacity Expansion'!E27</f>
        <v>3417.8790521407295</v>
      </c>
      <c r="G10" s="41">
        <f>'Capacity Expansion'!F27</f>
        <v>3719.3684213100414</v>
      </c>
      <c r="H10" s="41">
        <f>'Capacity Expansion'!G27</f>
        <v>3877.317711471961</v>
      </c>
    </row>
    <row r="11" spans="1:8" x14ac:dyDescent="0.2">
      <c r="A11" s="2" t="s">
        <v>27</v>
      </c>
      <c r="B11" s="8">
        <f>B9+B10</f>
        <v>3750</v>
      </c>
      <c r="C11" s="8">
        <f>C9+C10</f>
        <v>4592.5</v>
      </c>
      <c r="D11" s="41">
        <f>D9+D10</f>
        <v>4651.0627089921209</v>
      </c>
      <c r="E11" s="41">
        <f t="shared" ref="E11:H11" si="1">E9+E10</f>
        <v>4980.5773216974721</v>
      </c>
      <c r="F11" s="41">
        <f t="shared" si="1"/>
        <v>5613.3039329038456</v>
      </c>
      <c r="G11" s="41">
        <f t="shared" si="1"/>
        <v>6532.6312841448889</v>
      </c>
      <c r="H11" s="41">
        <f t="shared" si="1"/>
        <v>7647.8939785093044</v>
      </c>
    </row>
    <row r="13" spans="1:8" x14ac:dyDescent="0.2">
      <c r="A13" s="10" t="s">
        <v>28</v>
      </c>
      <c r="B13" s="11"/>
      <c r="C13" s="11"/>
    </row>
    <row r="14" spans="1:8" x14ac:dyDescent="0.2">
      <c r="A14" t="s">
        <v>29</v>
      </c>
      <c r="B14" s="5">
        <v>360</v>
      </c>
      <c r="C14" s="5">
        <v>540</v>
      </c>
      <c r="D14" s="41">
        <f>'Income Statement'!D8*('Balance Sheet'!D31/365)</f>
        <v>646.35930047694751</v>
      </c>
      <c r="E14" s="41">
        <f>'Income Statement'!E8*('Balance Sheet'!E31/365)</f>
        <v>725.15103338632753</v>
      </c>
      <c r="F14" s="41">
        <f>'Income Statement'!F8*('Balance Sheet'!F31/365)</f>
        <v>850.95071542130381</v>
      </c>
      <c r="G14" s="41">
        <f>'Income Statement'!G8*('Balance Sheet'!G31/365)</f>
        <v>969.21844197138319</v>
      </c>
      <c r="H14" s="41">
        <f>'Income Statement'!H8*('Balance Sheet'!H31/365)</f>
        <v>1040.2021545310015</v>
      </c>
    </row>
    <row r="15" spans="1:8" x14ac:dyDescent="0.2">
      <c r="A15" t="s">
        <v>30</v>
      </c>
      <c r="B15" s="5">
        <v>190</v>
      </c>
      <c r="C15" s="5">
        <v>190</v>
      </c>
      <c r="D15">
        <f>'Debt Schedule'!C10</f>
        <v>190</v>
      </c>
      <c r="E15">
        <f>'Debt Schedule'!D10</f>
        <v>190</v>
      </c>
      <c r="F15">
        <f>'Debt Schedule'!E10</f>
        <v>190</v>
      </c>
      <c r="G15">
        <f>'Debt Schedule'!F10</f>
        <v>190</v>
      </c>
      <c r="H15">
        <f>'Debt Schedule'!G10</f>
        <v>190</v>
      </c>
    </row>
    <row r="16" spans="1:8" x14ac:dyDescent="0.2">
      <c r="A16" s="2" t="s">
        <v>31</v>
      </c>
      <c r="B16" s="8">
        <f>SUM(B14:B15)</f>
        <v>550</v>
      </c>
      <c r="C16" s="8">
        <f>SUM(C14:C15)</f>
        <v>730</v>
      </c>
      <c r="D16" s="41">
        <f>SUM(D14:D15)</f>
        <v>836.35930047694751</v>
      </c>
      <c r="E16" s="41">
        <f t="shared" ref="E16:H16" si="2">SUM(E14:E15)</f>
        <v>915.15103338632753</v>
      </c>
      <c r="F16" s="41">
        <f t="shared" si="2"/>
        <v>1040.9507154213038</v>
      </c>
      <c r="G16" s="41">
        <f t="shared" si="2"/>
        <v>1159.2184419713831</v>
      </c>
      <c r="H16" s="41">
        <f t="shared" si="2"/>
        <v>1230.2021545310015</v>
      </c>
    </row>
    <row r="17" spans="1:8" x14ac:dyDescent="0.2">
      <c r="A17" t="s">
        <v>32</v>
      </c>
      <c r="B17" s="5">
        <v>1700</v>
      </c>
      <c r="C17" s="5">
        <v>1880</v>
      </c>
      <c r="D17" s="41">
        <f>'Debt Schedule'!C18</f>
        <v>1886.9872936284701</v>
      </c>
      <c r="E17" s="41">
        <f>'Debt Schedule'!D18</f>
        <v>1973.219336682479</v>
      </c>
      <c r="F17" s="41">
        <f>'Debt Schedule'!E18</f>
        <v>2153.8012184357322</v>
      </c>
      <c r="G17" s="41">
        <f>'Debt Schedule'!F18</f>
        <v>2327.0607583706296</v>
      </c>
      <c r="H17" s="41">
        <f>'Debt Schedule'!G18</f>
        <v>2431.3725911067741</v>
      </c>
    </row>
    <row r="18" spans="1:8" x14ac:dyDescent="0.2">
      <c r="A18" s="2" t="s">
        <v>33</v>
      </c>
      <c r="B18" s="8">
        <f>B16+B17</f>
        <v>2250</v>
      </c>
      <c r="C18" s="8">
        <f>C16+C17</f>
        <v>2610</v>
      </c>
      <c r="D18" s="41">
        <f>D16+D17</f>
        <v>2723.3465941054174</v>
      </c>
      <c r="E18" s="41">
        <f t="shared" ref="E18:H18" si="3">E16+E17</f>
        <v>2888.3703700688066</v>
      </c>
      <c r="F18" s="41">
        <f t="shared" si="3"/>
        <v>3194.751933857036</v>
      </c>
      <c r="G18" s="41">
        <f t="shared" si="3"/>
        <v>3486.2792003420127</v>
      </c>
      <c r="H18" s="41">
        <f t="shared" si="3"/>
        <v>3661.5747456377758</v>
      </c>
    </row>
    <row r="20" spans="1:8" x14ac:dyDescent="0.2">
      <c r="A20" s="10" t="s">
        <v>34</v>
      </c>
      <c r="B20" s="11"/>
      <c r="C20" s="11"/>
    </row>
    <row r="21" spans="1:8" x14ac:dyDescent="0.2">
      <c r="A21" t="s">
        <v>35</v>
      </c>
      <c r="B21" s="5">
        <v>1875</v>
      </c>
      <c r="C21" s="5">
        <v>2335</v>
      </c>
      <c r="D21" s="7">
        <f>C21+'Cash Flow Statement'!D20</f>
        <v>3269.3105845664668</v>
      </c>
      <c r="E21" s="7">
        <f>D21+'Cash Flow Statement'!E20</f>
        <v>3947.4748634649172</v>
      </c>
      <c r="F21" s="7">
        <f>E21+'Cash Flow Statement'!F20</f>
        <v>4136.3843704663122</v>
      </c>
      <c r="G21" s="7">
        <f>F21+'Cash Flow Statement'!G20</f>
        <v>4136.3843704663122</v>
      </c>
      <c r="H21" s="7">
        <f>G21+'Cash Flow Statement'!H20</f>
        <v>4136.3843704663122</v>
      </c>
    </row>
    <row r="22" spans="1:8" x14ac:dyDescent="0.2">
      <c r="A22" t="s">
        <v>36</v>
      </c>
      <c r="B22" s="5">
        <v>-375</v>
      </c>
      <c r="C22" s="5">
        <v>-352.5</v>
      </c>
      <c r="D22" s="7">
        <f>C22+'Income Statement'!D18</f>
        <v>-1341.5944696797637</v>
      </c>
      <c r="E22" s="7">
        <f>D22+'Income Statement'!E18</f>
        <v>-1855.2679118362521</v>
      </c>
      <c r="F22" s="7">
        <f>E22+'Income Statement'!F18</f>
        <v>-1717.832371419503</v>
      </c>
      <c r="G22" s="7">
        <f>F22+'Income Statement'!G18</f>
        <v>-1090.032286663436</v>
      </c>
      <c r="H22" s="7">
        <f>G22+'Income Statement'!H18</f>
        <v>-150.06513759478264</v>
      </c>
    </row>
    <row r="23" spans="1:8" x14ac:dyDescent="0.2">
      <c r="A23" s="2" t="s">
        <v>37</v>
      </c>
      <c r="B23" s="8">
        <f>B21+B22</f>
        <v>1500</v>
      </c>
      <c r="C23" s="8">
        <f>C21+C22</f>
        <v>1982.5</v>
      </c>
      <c r="D23" s="7">
        <f>D21+D22</f>
        <v>1927.7161148867031</v>
      </c>
      <c r="E23" s="7">
        <f t="shared" ref="E23:H23" si="4">E21+E22</f>
        <v>2092.2069516286651</v>
      </c>
      <c r="F23" s="7">
        <f t="shared" si="4"/>
        <v>2418.5519990468092</v>
      </c>
      <c r="G23" s="7">
        <f t="shared" si="4"/>
        <v>3046.3520838028762</v>
      </c>
      <c r="H23" s="7">
        <f t="shared" si="4"/>
        <v>3986.3192328715295</v>
      </c>
    </row>
    <row r="25" spans="1:8" x14ac:dyDescent="0.2">
      <c r="A25" s="2" t="s">
        <v>38</v>
      </c>
      <c r="B25" s="8">
        <f>B18+B23</f>
        <v>3750</v>
      </c>
      <c r="C25" s="8">
        <f>C18+C23</f>
        <v>4592.5</v>
      </c>
      <c r="D25" s="8">
        <f>D18+D23</f>
        <v>4651.06270899212</v>
      </c>
      <c r="E25" s="8">
        <f t="shared" ref="E25:H25" si="5">E18+E23</f>
        <v>4980.5773216974721</v>
      </c>
      <c r="F25" s="8">
        <f t="shared" si="5"/>
        <v>5613.3039329038456</v>
      </c>
      <c r="G25" s="8">
        <f t="shared" si="5"/>
        <v>6532.6312841448889</v>
      </c>
      <c r="H25" s="8">
        <f t="shared" si="5"/>
        <v>7647.8939785093053</v>
      </c>
    </row>
    <row r="26" spans="1:8" x14ac:dyDescent="0.2">
      <c r="A26" t="s">
        <v>39</v>
      </c>
      <c r="B26" s="7">
        <f>B11-B25</f>
        <v>0</v>
      </c>
      <c r="C26" s="7">
        <f>C11-C25</f>
        <v>0</v>
      </c>
    </row>
    <row r="28" spans="1:8" x14ac:dyDescent="0.2">
      <c r="A28" s="26" t="s">
        <v>203</v>
      </c>
      <c r="B28" s="34"/>
      <c r="C28" s="34"/>
    </row>
    <row r="29" spans="1:8" x14ac:dyDescent="0.2">
      <c r="A29" s="27" t="s">
        <v>204</v>
      </c>
      <c r="B29" s="50">
        <f>B7/'Income Statement'!B6*365</f>
        <v>36.5</v>
      </c>
      <c r="C29" s="50">
        <f>C7/'Income Statement'!C6*365</f>
        <v>36.5</v>
      </c>
      <c r="D29" s="52">
        <f>C29</f>
        <v>36.5</v>
      </c>
      <c r="E29" s="52">
        <f t="shared" ref="E29:H29" si="6">D29</f>
        <v>36.5</v>
      </c>
      <c r="F29" s="52">
        <f t="shared" si="6"/>
        <v>36.5</v>
      </c>
      <c r="G29" s="52">
        <f t="shared" si="6"/>
        <v>36.5</v>
      </c>
      <c r="H29" s="52">
        <f t="shared" si="6"/>
        <v>36.5</v>
      </c>
    </row>
    <row r="30" spans="1:8" x14ac:dyDescent="0.2">
      <c r="A30" s="27" t="s">
        <v>205</v>
      </c>
      <c r="B30" s="50">
        <f>B8/'Income Statement'!B8*365</f>
        <v>68.4375</v>
      </c>
      <c r="C30" s="50">
        <f>C8/'Income Statement'!C8*365</f>
        <v>73</v>
      </c>
      <c r="D30" s="52">
        <f>C30</f>
        <v>73</v>
      </c>
      <c r="E30" s="52">
        <f t="shared" ref="E30:H30" si="7">D30</f>
        <v>73</v>
      </c>
      <c r="F30" s="52">
        <f t="shared" si="7"/>
        <v>73</v>
      </c>
      <c r="G30" s="52">
        <f t="shared" si="7"/>
        <v>73</v>
      </c>
      <c r="H30" s="52">
        <f t="shared" si="7"/>
        <v>73</v>
      </c>
    </row>
    <row r="31" spans="1:8" x14ac:dyDescent="0.2">
      <c r="A31" s="27" t="s">
        <v>206</v>
      </c>
      <c r="B31" s="50">
        <f>B14/'Income Statement'!B8*365</f>
        <v>54.75</v>
      </c>
      <c r="C31" s="50">
        <f>C14/'Income Statement'!C8*365</f>
        <v>58.4</v>
      </c>
      <c r="D31" s="52">
        <f>C31</f>
        <v>58.4</v>
      </c>
      <c r="E31" s="52">
        <f t="shared" ref="E31:H31" si="8">D31</f>
        <v>58.4</v>
      </c>
      <c r="F31" s="52">
        <f t="shared" si="8"/>
        <v>58.4</v>
      </c>
      <c r="G31" s="52">
        <f t="shared" si="8"/>
        <v>58.4</v>
      </c>
      <c r="H31" s="52">
        <f t="shared" si="8"/>
        <v>58.4</v>
      </c>
    </row>
    <row r="32" spans="1:8" x14ac:dyDescent="0.2">
      <c r="A32" s="25" t="s">
        <v>207</v>
      </c>
      <c r="B32" s="51">
        <f>B7+B8-B14</f>
        <v>390</v>
      </c>
      <c r="C32" s="51">
        <f>C7+C8-C14</f>
        <v>585</v>
      </c>
      <c r="D32" s="51">
        <f>D7+D8-D14</f>
        <v>645.15739268680454</v>
      </c>
      <c r="E32" s="51">
        <f t="shared" ref="E32:H32" si="9">E7+E8-E14</f>
        <v>760.20667726550073</v>
      </c>
      <c r="F32" s="51">
        <f t="shared" si="9"/>
        <v>944.4741653418123</v>
      </c>
      <c r="G32" s="51">
        <f t="shared" si="9"/>
        <v>1115.1781240063597</v>
      </c>
      <c r="H32" s="51">
        <f t="shared" si="9"/>
        <v>1214.8172413354534</v>
      </c>
    </row>
    <row r="33" spans="1:8" x14ac:dyDescent="0.2">
      <c r="A33" s="27" t="s">
        <v>208</v>
      </c>
      <c r="C33" s="38">
        <f>C32-B32</f>
        <v>195</v>
      </c>
      <c r="D33" s="38">
        <f>D32-C32</f>
        <v>60.157392686804542</v>
      </c>
      <c r="E33" s="38">
        <f t="shared" ref="E33:H33" si="10">E32-D32</f>
        <v>115.04928457869619</v>
      </c>
      <c r="F33" s="38">
        <f t="shared" si="10"/>
        <v>184.26748807631157</v>
      </c>
      <c r="G33" s="38">
        <f t="shared" si="10"/>
        <v>170.70395866454737</v>
      </c>
      <c r="H33" s="38">
        <f t="shared" si="10"/>
        <v>99.639117329093779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9447-F74F-4133-B65C-ED04E588F2E9}">
  <dimension ref="A1:H28"/>
  <sheetViews>
    <sheetView zoomScale="82" workbookViewId="0">
      <selection activeCell="E8" sqref="E8"/>
    </sheetView>
  </sheetViews>
  <sheetFormatPr baseColWidth="10" defaultColWidth="8.83203125" defaultRowHeight="15" x14ac:dyDescent="0.2"/>
  <cols>
    <col min="1" max="3" width="40" customWidth="1"/>
  </cols>
  <sheetData>
    <row r="1" spans="1:8" ht="19" x14ac:dyDescent="0.25">
      <c r="A1" s="1" t="s">
        <v>0</v>
      </c>
    </row>
    <row r="2" spans="1:8" x14ac:dyDescent="0.2">
      <c r="A2" s="3" t="s">
        <v>40</v>
      </c>
    </row>
    <row r="4" spans="1:8" x14ac:dyDescent="0.2">
      <c r="B4" s="4" t="s">
        <v>2</v>
      </c>
      <c r="C4" s="4" t="s">
        <v>3</v>
      </c>
      <c r="D4" s="4" t="s">
        <v>90</v>
      </c>
      <c r="E4" s="4" t="s">
        <v>91</v>
      </c>
      <c r="F4" s="4" t="s">
        <v>92</v>
      </c>
      <c r="G4" s="4" t="s">
        <v>93</v>
      </c>
      <c r="H4" s="4" t="s">
        <v>94</v>
      </c>
    </row>
    <row r="5" spans="1:8" x14ac:dyDescent="0.2">
      <c r="A5" s="10" t="s">
        <v>41</v>
      </c>
      <c r="B5" s="11"/>
      <c r="C5" s="11"/>
    </row>
    <row r="6" spans="1:8" x14ac:dyDescent="0.2">
      <c r="A6" t="s">
        <v>16</v>
      </c>
      <c r="B6" s="12">
        <f>'Income Statement'!B18</f>
        <v>-285</v>
      </c>
      <c r="C6" s="12">
        <f>'Income Statement'!C18</f>
        <v>22.5</v>
      </c>
      <c r="D6" s="41">
        <f>'Income Statement'!D18</f>
        <v>-989.09446967976373</v>
      </c>
      <c r="E6" s="41">
        <f>'Income Statement'!E18</f>
        <v>-513.67344215648825</v>
      </c>
      <c r="F6" s="41">
        <f>'Income Statement'!F18</f>
        <v>137.43554041674901</v>
      </c>
      <c r="G6" s="41">
        <f>'Income Statement'!G18</f>
        <v>627.80008475606689</v>
      </c>
      <c r="H6" s="41">
        <f>'Income Statement'!H18</f>
        <v>939.96714906865338</v>
      </c>
    </row>
    <row r="7" spans="1:8" x14ac:dyDescent="0.2">
      <c r="A7" t="s">
        <v>42</v>
      </c>
      <c r="B7" s="12">
        <f>'Income Statement'!B13</f>
        <v>150</v>
      </c>
      <c r="C7" s="12">
        <f>'Income Statement'!C13</f>
        <v>200</v>
      </c>
      <c r="D7" s="41">
        <f>'Income Statement'!D13</f>
        <v>227.42857142857144</v>
      </c>
      <c r="E7" s="41">
        <f>'Income Statement'!E13</f>
        <v>225.48922025359002</v>
      </c>
      <c r="F7" s="41">
        <f>'Income Statement'!F13</f>
        <v>235.8262560796681</v>
      </c>
      <c r="G7" s="41">
        <f>'Income Statement'!G13</f>
        <v>260.40983254405563</v>
      </c>
      <c r="H7" s="41">
        <f>'Income Statement'!H13</f>
        <v>283.38045114743176</v>
      </c>
    </row>
    <row r="8" spans="1:8" x14ac:dyDescent="0.2">
      <c r="A8" t="s">
        <v>43</v>
      </c>
      <c r="B8" s="13" t="s">
        <v>44</v>
      </c>
      <c r="C8" s="7">
        <f>-('Balance Sheet'!C7-'Balance Sheet'!B7)</f>
        <v>-150</v>
      </c>
      <c r="D8" s="41">
        <f>-('Balance Sheet'!D7-'Balance Sheet'!C7)</f>
        <v>-33.567567567567608</v>
      </c>
      <c r="E8" s="41">
        <f>-('Balance Sheet'!E7-'Balance Sheet'!D7)</f>
        <v>-95.351351351351354</v>
      </c>
      <c r="F8" s="41">
        <f>-('Balance Sheet'!F7-'Balance Sheet'!E7)</f>
        <v>-152.81756756756761</v>
      </c>
      <c r="G8" s="41">
        <f>-('Balance Sheet'!G7-'Balance Sheet'!F7)</f>
        <v>-141.13702702702699</v>
      </c>
      <c r="H8" s="41">
        <f>-('Balance Sheet'!H7-'Balance Sheet'!G7)</f>
        <v>-81.893189189189115</v>
      </c>
    </row>
    <row r="9" spans="1:8" x14ac:dyDescent="0.2">
      <c r="A9" t="s">
        <v>45</v>
      </c>
      <c r="B9" s="13" t="s">
        <v>44</v>
      </c>
      <c r="C9" s="7">
        <f>-('Balance Sheet'!C8-'Balance Sheet'!B8)</f>
        <v>-225</v>
      </c>
      <c r="D9" s="41">
        <f>-('Balance Sheet'!D8-'Balance Sheet'!C8)</f>
        <v>-132.94912559618444</v>
      </c>
      <c r="E9" s="41">
        <f>-('Balance Sheet'!E8-'Balance Sheet'!D8)</f>
        <v>-98.489666136724964</v>
      </c>
      <c r="F9" s="41">
        <f>-('Balance Sheet'!F8-'Balance Sheet'!E8)</f>
        <v>-157.24960254372024</v>
      </c>
      <c r="G9" s="41">
        <f>-('Balance Sheet'!G8-'Balance Sheet'!F8)</f>
        <v>-147.83465818759942</v>
      </c>
      <c r="H9" s="41">
        <f>-('Balance Sheet'!H8-'Balance Sheet'!G8)</f>
        <v>-88.729640699523088</v>
      </c>
    </row>
    <row r="10" spans="1:8" x14ac:dyDescent="0.2">
      <c r="A10" t="s">
        <v>46</v>
      </c>
      <c r="B10" s="13" t="s">
        <v>44</v>
      </c>
      <c r="C10" s="7">
        <f>'Balance Sheet'!C14-'Balance Sheet'!B14</f>
        <v>180</v>
      </c>
      <c r="D10" s="41">
        <f>'Balance Sheet'!D14-'Balance Sheet'!C14</f>
        <v>106.35930047694751</v>
      </c>
      <c r="E10" s="41">
        <f>'Balance Sheet'!E14-'Balance Sheet'!D14</f>
        <v>78.791732909380016</v>
      </c>
      <c r="F10" s="41">
        <f>'Balance Sheet'!F14-'Balance Sheet'!E14</f>
        <v>125.79968203497629</v>
      </c>
      <c r="G10" s="41">
        <f>'Balance Sheet'!G14-'Balance Sheet'!F14</f>
        <v>118.26772655007937</v>
      </c>
      <c r="H10" s="41">
        <f>'Balance Sheet'!H14-'Balance Sheet'!G14</f>
        <v>70.983712559618311</v>
      </c>
    </row>
    <row r="11" spans="1:8" x14ac:dyDescent="0.2">
      <c r="A11" s="2" t="s">
        <v>47</v>
      </c>
      <c r="B11" s="8">
        <f>B6+B7</f>
        <v>-135</v>
      </c>
      <c r="C11" s="8">
        <f>SUM(C6:C10)</f>
        <v>27.5</v>
      </c>
      <c r="D11" s="41">
        <f>SUM(D6:D10)</f>
        <v>-821.82329093799683</v>
      </c>
      <c r="E11" s="41">
        <f t="shared" ref="E11:H11" si="0">SUM(E6:E10)</f>
        <v>-403.23350648159453</v>
      </c>
      <c r="F11" s="41">
        <f t="shared" si="0"/>
        <v>188.99430842010554</v>
      </c>
      <c r="G11" s="41">
        <f t="shared" si="0"/>
        <v>717.50595863557544</v>
      </c>
      <c r="H11" s="41">
        <f t="shared" si="0"/>
        <v>1123.7084828869911</v>
      </c>
    </row>
    <row r="13" spans="1:8" x14ac:dyDescent="0.2">
      <c r="A13" s="10" t="s">
        <v>48</v>
      </c>
      <c r="B13" s="11"/>
      <c r="C13" s="11"/>
    </row>
    <row r="14" spans="1:8" x14ac:dyDescent="0.2">
      <c r="A14" t="s">
        <v>49</v>
      </c>
      <c r="B14" s="5">
        <v>-500</v>
      </c>
      <c r="C14" s="5">
        <v>-560</v>
      </c>
      <c r="D14" s="41">
        <f>-'Capacity Expansion'!C21</f>
        <v>-201.97458725694025</v>
      </c>
      <c r="E14" s="41">
        <f>-'Capacity Expansion'!D21</f>
        <v>-361.16281547086498</v>
      </c>
      <c r="F14" s="41">
        <f>-'Capacity Expansion'!E21</f>
        <v>-558.48569717475391</v>
      </c>
      <c r="G14" s="41">
        <f>-'Capacity Expansion'!F21</f>
        <v>-561.89920171336757</v>
      </c>
      <c r="H14" s="41">
        <f>-'Capacity Expansion'!G21</f>
        <v>-441.32974130935111</v>
      </c>
    </row>
    <row r="15" spans="1:8" x14ac:dyDescent="0.2">
      <c r="A15" s="2" t="s">
        <v>50</v>
      </c>
      <c r="B15" s="8">
        <f>B14</f>
        <v>-500</v>
      </c>
      <c r="C15" s="8">
        <f>C14</f>
        <v>-560</v>
      </c>
      <c r="D15" s="41">
        <f>D14</f>
        <v>-201.97458725694025</v>
      </c>
      <c r="E15" s="41">
        <f t="shared" ref="E15:H15" si="1">E14</f>
        <v>-361.16281547086498</v>
      </c>
      <c r="F15" s="41">
        <f t="shared" si="1"/>
        <v>-558.48569717475391</v>
      </c>
      <c r="G15" s="41">
        <f t="shared" si="1"/>
        <v>-561.89920171336757</v>
      </c>
      <c r="H15" s="41">
        <f t="shared" si="1"/>
        <v>-441.32974130935111</v>
      </c>
    </row>
    <row r="16" spans="1:8" x14ac:dyDescent="0.2">
      <c r="D16" s="41"/>
      <c r="E16" s="41"/>
      <c r="F16" s="41"/>
      <c r="G16" s="41"/>
      <c r="H16" s="41"/>
    </row>
    <row r="17" spans="1:8" x14ac:dyDescent="0.2">
      <c r="A17" s="10" t="s">
        <v>51</v>
      </c>
      <c r="B17" s="11"/>
      <c r="C17" s="11"/>
      <c r="D17" s="41"/>
      <c r="E17" s="41"/>
      <c r="F17" s="41"/>
      <c r="G17" s="41"/>
      <c r="H17" s="41"/>
    </row>
    <row r="18" spans="1:8" x14ac:dyDescent="0.2">
      <c r="A18" t="s">
        <v>52</v>
      </c>
      <c r="B18" s="5">
        <v>700</v>
      </c>
      <c r="C18" s="5">
        <v>280</v>
      </c>
      <c r="D18" s="41">
        <f>'Debt Schedule'!C8+'Debt Schedule'!C16</f>
        <v>100.98729362847013</v>
      </c>
      <c r="E18" s="41">
        <f>'Debt Schedule'!D8+'Debt Schedule'!D16</f>
        <v>180.58140773543249</v>
      </c>
      <c r="F18" s="41">
        <f>'Debt Schedule'!E8+'Debt Schedule'!E16</f>
        <v>279.24284858737695</v>
      </c>
      <c r="G18" s="41">
        <f>'Debt Schedule'!F8+'Debt Schedule'!F16</f>
        <v>280.94960085668379</v>
      </c>
      <c r="H18" s="41">
        <f>'Debt Schedule'!G8+'Debt Schedule'!G16</f>
        <v>220.66487065467555</v>
      </c>
    </row>
    <row r="19" spans="1:8" x14ac:dyDescent="0.2">
      <c r="A19" t="s">
        <v>53</v>
      </c>
      <c r="B19" s="5">
        <v>-50</v>
      </c>
      <c r="C19" s="5">
        <v>-100</v>
      </c>
      <c r="D19" s="41">
        <f>'Debt Schedule'!C9+'Debt Schedule'!C17</f>
        <v>-94</v>
      </c>
      <c r="E19" s="41">
        <f>'Debt Schedule'!D9+'Debt Schedule'!D17</f>
        <v>-94.349364681423509</v>
      </c>
      <c r="F19" s="41">
        <f>'Debt Schedule'!E9+'Debt Schedule'!E17</f>
        <v>-98.660966834123954</v>
      </c>
      <c r="G19" s="41">
        <f>'Debt Schedule'!F9+'Debt Schedule'!F17</f>
        <v>-107.69006092178661</v>
      </c>
      <c r="H19" s="41">
        <f>'Debt Schedule'!G9+'Debt Schedule'!G17</f>
        <v>-116.35303791853148</v>
      </c>
    </row>
    <row r="20" spans="1:8" x14ac:dyDescent="0.2">
      <c r="A20" t="s">
        <v>54</v>
      </c>
      <c r="B20" s="5">
        <v>1200</v>
      </c>
      <c r="C20" s="5">
        <v>460</v>
      </c>
      <c r="D20" s="41">
        <f>MAX(0,'Debt Schedule'!C32-(D24+D11+D15+D18+D19))</f>
        <v>934.31058456646701</v>
      </c>
      <c r="E20" s="41">
        <f>MAX(0,'Debt Schedule'!D32-(E24+E11+E15+E18+E19))</f>
        <v>678.16427889845056</v>
      </c>
      <c r="F20" s="41">
        <f>MAX(0,'Debt Schedule'!E32-(F24+F11+F15+F18+F19))</f>
        <v>188.90950700139535</v>
      </c>
      <c r="G20" s="41">
        <f>MAX(0,'Debt Schedule'!F32-(G24+G11+G15+G18+G19))</f>
        <v>0</v>
      </c>
      <c r="H20" s="41">
        <f>MAX(0,'Debt Schedule'!G32-(H24+H11+H15+H18+H19))</f>
        <v>0</v>
      </c>
    </row>
    <row r="21" spans="1:8" x14ac:dyDescent="0.2">
      <c r="A21" s="2" t="s">
        <v>55</v>
      </c>
      <c r="B21" s="8">
        <f>SUM(B18:B20)</f>
        <v>1850</v>
      </c>
      <c r="C21" s="8">
        <f>SUM(C18:C20)</f>
        <v>640</v>
      </c>
      <c r="D21" s="41">
        <f>SUM(D18:D20)</f>
        <v>941.29787819493708</v>
      </c>
      <c r="E21" s="41">
        <f t="shared" ref="E21:H21" si="2">SUM(E18:E20)</f>
        <v>764.39632195245952</v>
      </c>
      <c r="F21" s="41">
        <f t="shared" si="2"/>
        <v>369.49138875464837</v>
      </c>
      <c r="G21" s="41">
        <f t="shared" si="2"/>
        <v>173.25953993489719</v>
      </c>
      <c r="H21" s="41">
        <f t="shared" si="2"/>
        <v>104.31183273614407</v>
      </c>
    </row>
    <row r="22" spans="1:8" x14ac:dyDescent="0.2">
      <c r="D22" s="41"/>
      <c r="E22" s="41"/>
      <c r="F22" s="41"/>
      <c r="G22" s="41"/>
      <c r="H22" s="41"/>
    </row>
    <row r="23" spans="1:8" x14ac:dyDescent="0.2">
      <c r="A23" s="2" t="s">
        <v>56</v>
      </c>
      <c r="B23" s="8">
        <f>B11+B15+B21</f>
        <v>1215</v>
      </c>
      <c r="C23" s="8">
        <f>C11+C15+C21</f>
        <v>107.5</v>
      </c>
      <c r="D23" s="41">
        <f>D11+D15+D21</f>
        <v>-82.5</v>
      </c>
      <c r="E23" s="41">
        <f t="shared" ref="E23:H23" si="3">E11+E15+E21</f>
        <v>0</v>
      </c>
      <c r="F23" s="41">
        <f t="shared" si="3"/>
        <v>0</v>
      </c>
      <c r="G23" s="41">
        <f t="shared" si="3"/>
        <v>328.86629685710506</v>
      </c>
      <c r="H23" s="41">
        <f t="shared" si="3"/>
        <v>786.69057431378405</v>
      </c>
    </row>
    <row r="24" spans="1:8" x14ac:dyDescent="0.2">
      <c r="A24" t="s">
        <v>57</v>
      </c>
      <c r="B24" s="13" t="s">
        <v>44</v>
      </c>
      <c r="C24" s="12">
        <f>'Balance Sheet'!B6</f>
        <v>375</v>
      </c>
      <c r="D24" s="41">
        <f>C25</f>
        <v>482.5</v>
      </c>
      <c r="E24" s="41">
        <f t="shared" ref="E24:H24" si="4">D25</f>
        <v>400</v>
      </c>
      <c r="F24" s="41">
        <f t="shared" si="4"/>
        <v>400</v>
      </c>
      <c r="G24" s="41">
        <f t="shared" si="4"/>
        <v>400</v>
      </c>
      <c r="H24" s="41">
        <f t="shared" si="4"/>
        <v>728.866296857105</v>
      </c>
    </row>
    <row r="25" spans="1:8" x14ac:dyDescent="0.2">
      <c r="A25" s="2" t="s">
        <v>58</v>
      </c>
      <c r="B25" s="14">
        <f>'Balance Sheet'!B6</f>
        <v>375</v>
      </c>
      <c r="C25" s="8">
        <f>C24+C23</f>
        <v>482.5</v>
      </c>
      <c r="D25" s="41">
        <f>D24+D23</f>
        <v>400</v>
      </c>
      <c r="E25" s="41">
        <f t="shared" ref="E25:H25" si="5">E24+E23</f>
        <v>400</v>
      </c>
      <c r="F25" s="41">
        <f t="shared" si="5"/>
        <v>400</v>
      </c>
      <c r="G25" s="41">
        <f t="shared" si="5"/>
        <v>728.866296857105</v>
      </c>
      <c r="H25" s="41">
        <f t="shared" si="5"/>
        <v>1515.5568711708891</v>
      </c>
    </row>
    <row r="26" spans="1:8" x14ac:dyDescent="0.2">
      <c r="A26" t="s">
        <v>59</v>
      </c>
      <c r="C26" s="7">
        <f>C25-'Balance Sheet'!C6</f>
        <v>0</v>
      </c>
    </row>
    <row r="28" spans="1:8" x14ac:dyDescent="0.2">
      <c r="A28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AECE-45D2-4783-BF31-C212F0B4C4EB}">
  <dimension ref="A1:D28"/>
  <sheetViews>
    <sheetView topLeftCell="A4" workbookViewId="0">
      <selection activeCell="B23" sqref="B23"/>
    </sheetView>
  </sheetViews>
  <sheetFormatPr baseColWidth="10" defaultColWidth="8.83203125" defaultRowHeight="15" x14ac:dyDescent="0.2"/>
  <cols>
    <col min="1" max="4" width="47.1640625" customWidth="1"/>
  </cols>
  <sheetData>
    <row r="1" spans="1:4" ht="19" x14ac:dyDescent="0.25">
      <c r="A1" s="1" t="s">
        <v>60</v>
      </c>
    </row>
    <row r="2" spans="1:4" x14ac:dyDescent="0.2">
      <c r="A2" s="16" t="s">
        <v>61</v>
      </c>
    </row>
    <row r="4" spans="1:4" x14ac:dyDescent="0.2">
      <c r="A4" s="10" t="s">
        <v>62</v>
      </c>
      <c r="B4" s="11"/>
      <c r="D4" s="11"/>
    </row>
    <row r="5" spans="1:4" x14ac:dyDescent="0.2">
      <c r="A5" t="s">
        <v>63</v>
      </c>
      <c r="B5" s="17">
        <f>Assumptions!B7</f>
        <v>4.2500000000000003E-2</v>
      </c>
      <c r="D5" s="15" t="s">
        <v>64</v>
      </c>
    </row>
    <row r="6" spans="1:4" x14ac:dyDescent="0.2">
      <c r="A6" t="s">
        <v>65</v>
      </c>
      <c r="B6" s="47">
        <f>Assumptions!B8</f>
        <v>1.85</v>
      </c>
      <c r="D6" s="15" t="s">
        <v>66</v>
      </c>
    </row>
    <row r="7" spans="1:4" x14ac:dyDescent="0.2">
      <c r="A7" t="s">
        <v>67</v>
      </c>
      <c r="B7" s="17">
        <f>Assumptions!B9</f>
        <v>5.5E-2</v>
      </c>
      <c r="D7" s="15" t="s">
        <v>68</v>
      </c>
    </row>
    <row r="8" spans="1:4" x14ac:dyDescent="0.2">
      <c r="A8" s="2" t="s">
        <v>69</v>
      </c>
      <c r="B8" s="18">
        <f>B5+(B6*B7)</f>
        <v>0.14425000000000002</v>
      </c>
      <c r="D8" s="15" t="s">
        <v>70</v>
      </c>
    </row>
    <row r="10" spans="1:4" x14ac:dyDescent="0.2">
      <c r="A10" s="10" t="s">
        <v>71</v>
      </c>
      <c r="B10" s="11"/>
      <c r="D10" s="11"/>
    </row>
    <row r="11" spans="1:4" x14ac:dyDescent="0.2">
      <c r="A11" t="s">
        <v>72</v>
      </c>
      <c r="B11" s="17">
        <f>Assumptions!B10</f>
        <v>7.4999999999999997E-2</v>
      </c>
      <c r="D11" s="15" t="s">
        <v>73</v>
      </c>
    </row>
    <row r="12" spans="1:4" x14ac:dyDescent="0.2">
      <c r="A12" t="s">
        <v>74</v>
      </c>
      <c r="B12" s="17">
        <f>Assumptions!B11</f>
        <v>0.21</v>
      </c>
      <c r="D12" s="15" t="s">
        <v>75</v>
      </c>
    </row>
    <row r="13" spans="1:4" x14ac:dyDescent="0.2">
      <c r="A13" s="2" t="s">
        <v>76</v>
      </c>
      <c r="B13" s="18">
        <f>B11*(1-B12)</f>
        <v>5.9249999999999997E-2</v>
      </c>
      <c r="D13" s="15" t="s">
        <v>77</v>
      </c>
    </row>
    <row r="15" spans="1:4" x14ac:dyDescent="0.2">
      <c r="A15" s="10" t="s">
        <v>78</v>
      </c>
      <c r="B15" s="11"/>
      <c r="D15" s="11"/>
    </row>
    <row r="16" spans="1:4" x14ac:dyDescent="0.2">
      <c r="A16" t="s">
        <v>79</v>
      </c>
      <c r="B16" s="19">
        <f>B27*B28</f>
        <v>3560</v>
      </c>
      <c r="D16" s="15" t="s">
        <v>80</v>
      </c>
    </row>
    <row r="17" spans="1:4" x14ac:dyDescent="0.2">
      <c r="A17" t="s">
        <v>81</v>
      </c>
      <c r="B17" s="19">
        <f>'Balance Sheet'!C15+'Balance Sheet'!C17</f>
        <v>2070</v>
      </c>
      <c r="D17" s="15" t="s">
        <v>82</v>
      </c>
    </row>
    <row r="18" spans="1:4" x14ac:dyDescent="0.2">
      <c r="A18" s="2" t="s">
        <v>83</v>
      </c>
      <c r="B18" s="20">
        <f>B16+B17</f>
        <v>5630</v>
      </c>
    </row>
    <row r="19" spans="1:4" x14ac:dyDescent="0.2">
      <c r="A19" t="s">
        <v>84</v>
      </c>
      <c r="B19" s="6">
        <f>B16/B18</f>
        <v>0.63232682060390766</v>
      </c>
    </row>
    <row r="20" spans="1:4" x14ac:dyDescent="0.2">
      <c r="A20" t="s">
        <v>85</v>
      </c>
      <c r="B20" s="6">
        <f>B17/B18</f>
        <v>0.36767317939609234</v>
      </c>
    </row>
    <row r="22" spans="1:4" ht="16" x14ac:dyDescent="0.2">
      <c r="A22" s="21" t="s">
        <v>86</v>
      </c>
      <c r="B22" s="22">
        <f>B19*B8+B20*B13</f>
        <v>0.11299777975133217</v>
      </c>
      <c r="D22" s="15" t="s">
        <v>87</v>
      </c>
    </row>
    <row r="24" spans="1:4" x14ac:dyDescent="0.2">
      <c r="A24" s="15"/>
    </row>
    <row r="26" spans="1:4" x14ac:dyDescent="0.2">
      <c r="A26" s="26" t="s">
        <v>201</v>
      </c>
      <c r="B26" s="34"/>
    </row>
    <row r="27" spans="1:4" x14ac:dyDescent="0.2">
      <c r="A27" s="27" t="s">
        <v>175</v>
      </c>
      <c r="B27" s="48">
        <f>Assumptions!B12</f>
        <v>400</v>
      </c>
    </row>
    <row r="28" spans="1:4" x14ac:dyDescent="0.2">
      <c r="A28" s="27" t="s">
        <v>202</v>
      </c>
      <c r="B28" s="49">
        <f>Assumptions!B13</f>
        <v>8.9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602B-D92B-40E4-B40D-1751292C08DD}">
  <dimension ref="A1:G36"/>
  <sheetViews>
    <sheetView zoomScale="83" workbookViewId="0">
      <selection activeCell="B35" sqref="B35"/>
    </sheetView>
  </sheetViews>
  <sheetFormatPr baseColWidth="10" defaultColWidth="8.83203125" defaultRowHeight="15" x14ac:dyDescent="0.2"/>
  <cols>
    <col min="1" max="1" width="47.1640625" customWidth="1"/>
    <col min="2" max="7" width="27.1640625" customWidth="1"/>
  </cols>
  <sheetData>
    <row r="1" spans="1:7" ht="19" x14ac:dyDescent="0.25">
      <c r="A1" s="1" t="s">
        <v>88</v>
      </c>
    </row>
    <row r="2" spans="1:7" x14ac:dyDescent="0.2">
      <c r="A2" s="16" t="s">
        <v>89</v>
      </c>
    </row>
    <row r="4" spans="1:7" x14ac:dyDescent="0.2">
      <c r="A4" s="2"/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</row>
    <row r="6" spans="1:7" x14ac:dyDescent="0.2">
      <c r="A6" t="s">
        <v>4</v>
      </c>
      <c r="B6" s="41">
        <f>'Income Statement'!D6</f>
        <v>4835.6756756756758</v>
      </c>
      <c r="C6" s="41">
        <f>'Income Statement'!E6</f>
        <v>5789.1891891891892</v>
      </c>
      <c r="D6" s="41">
        <f>'Income Statement'!F6</f>
        <v>7317.364864864865</v>
      </c>
      <c r="E6" s="41">
        <f>'Income Statement'!G6</f>
        <v>8728.7351351351354</v>
      </c>
      <c r="F6" s="41">
        <f>'Income Statement'!H6</f>
        <v>9547.6670270270261</v>
      </c>
      <c r="G6" s="41">
        <f>F6*(1+$B$25)</f>
        <v>9786.3587027027006</v>
      </c>
    </row>
    <row r="7" spans="1:7" x14ac:dyDescent="0.2">
      <c r="A7" t="s">
        <v>5</v>
      </c>
      <c r="B7" s="43">
        <f>'Income Statement'!D7</f>
        <v>7.4594594594594638E-2</v>
      </c>
      <c r="C7" s="43">
        <f>'Income Statement'!E7</f>
        <v>0.19718309859154926</v>
      </c>
      <c r="D7" s="43">
        <f>'Income Statement'!F7</f>
        <v>0.26397058823529412</v>
      </c>
      <c r="E7" s="43">
        <f>'Income Statement'!G7</f>
        <v>0.19287958115183246</v>
      </c>
      <c r="F7" s="43">
        <f>'Income Statement'!H7</f>
        <v>9.3820224719100981E-2</v>
      </c>
      <c r="G7" s="6">
        <f>$B$25</f>
        <v>2.5000000000000001E-2</v>
      </c>
    </row>
    <row r="8" spans="1:7" x14ac:dyDescent="0.2">
      <c r="A8" t="s">
        <v>10</v>
      </c>
      <c r="B8" s="41">
        <f>'Income Statement'!D12</f>
        <v>-606.41589825119229</v>
      </c>
      <c r="C8" s="41">
        <f>'Income Statement'!E12</f>
        <v>-132.41017488076295</v>
      </c>
      <c r="D8" s="41">
        <f>'Income Statement'!F12</f>
        <v>572.03674483306793</v>
      </c>
      <c r="E8" s="41">
        <f>'Income Statement'!G12</f>
        <v>1230.8785755166937</v>
      </c>
      <c r="F8" s="41">
        <f>'Income Statement'!H12</f>
        <v>1661.9918422893472</v>
      </c>
      <c r="G8" s="41">
        <f>F8*(1+$B$25)</f>
        <v>1703.5416383465808</v>
      </c>
    </row>
    <row r="9" spans="1:7" x14ac:dyDescent="0.2">
      <c r="A9" t="s">
        <v>18</v>
      </c>
      <c r="B9" s="43">
        <f>B8/B6</f>
        <v>-0.12540458436895882</v>
      </c>
      <c r="C9" s="43">
        <f t="shared" ref="C9:F9" si="0">C8/C6</f>
        <v>-2.2871972318339071E-2</v>
      </c>
      <c r="D9" s="43">
        <f t="shared" si="0"/>
        <v>7.8175238681860118E-2</v>
      </c>
      <c r="E9" s="43">
        <f t="shared" si="0"/>
        <v>0.14101454064771982</v>
      </c>
      <c r="F9" s="43">
        <f t="shared" si="0"/>
        <v>0.17407308377896605</v>
      </c>
      <c r="G9" s="43">
        <f t="shared" ref="G9" si="1">G8/G6</f>
        <v>0.17407308377896608</v>
      </c>
    </row>
    <row r="10" spans="1:7" x14ac:dyDescent="0.2">
      <c r="A10" t="s">
        <v>96</v>
      </c>
      <c r="B10" s="41">
        <f>-'Income Statement'!D13</f>
        <v>-227.42857142857144</v>
      </c>
      <c r="C10" s="41">
        <f>-'Income Statement'!E13</f>
        <v>-225.48922025359002</v>
      </c>
      <c r="D10" s="41">
        <f>-'Income Statement'!F13</f>
        <v>-235.8262560796681</v>
      </c>
      <c r="E10" s="41">
        <f>-'Income Statement'!G13</f>
        <v>-260.40983254405563</v>
      </c>
      <c r="F10" s="41">
        <f>-'Income Statement'!H13</f>
        <v>-283.38045114743176</v>
      </c>
      <c r="G10" s="41">
        <f>F10*(1+B25)</f>
        <v>-290.46496242611755</v>
      </c>
    </row>
    <row r="11" spans="1:7" x14ac:dyDescent="0.2">
      <c r="A11" t="s">
        <v>12</v>
      </c>
      <c r="B11" s="41">
        <f>B8+B10</f>
        <v>-833.84446967976373</v>
      </c>
      <c r="C11" s="41">
        <f t="shared" ref="C11:F11" si="2">C8+C10</f>
        <v>-357.89939513435297</v>
      </c>
      <c r="D11" s="41">
        <f t="shared" si="2"/>
        <v>336.21048875339983</v>
      </c>
      <c r="E11" s="41">
        <f t="shared" si="2"/>
        <v>970.46874297263798</v>
      </c>
      <c r="F11" s="41">
        <f t="shared" si="2"/>
        <v>1378.6113911419154</v>
      </c>
      <c r="G11" s="41">
        <f>G8+G10</f>
        <v>1413.0766759204632</v>
      </c>
    </row>
    <row r="12" spans="1:7" x14ac:dyDescent="0.2">
      <c r="A12" t="s">
        <v>97</v>
      </c>
      <c r="B12" s="41">
        <f>-B11*WACC!$B$12</f>
        <v>175.10733863275038</v>
      </c>
      <c r="C12" s="41">
        <f>-C11*WACC!$B$12</f>
        <v>75.15887297821412</v>
      </c>
      <c r="D12" s="41">
        <f>-D11*WACC!$B$12</f>
        <v>-70.604202638213962</v>
      </c>
      <c r="E12" s="41">
        <f>-E11*WACC!$B$12</f>
        <v>-203.79843602425396</v>
      </c>
      <c r="F12" s="41">
        <f>-F11*WACC!$B$12</f>
        <v>-289.50839213980225</v>
      </c>
      <c r="G12" s="41">
        <f>F12*(1+$B$25)</f>
        <v>-296.74610194329728</v>
      </c>
    </row>
    <row r="13" spans="1:7" x14ac:dyDescent="0.2">
      <c r="A13" s="2" t="s">
        <v>98</v>
      </c>
      <c r="B13" s="41">
        <f>B11+B12</f>
        <v>-658.73713104701335</v>
      </c>
      <c r="C13" s="41">
        <f t="shared" ref="C13:F13" si="3">C11+C12</f>
        <v>-282.74052215613887</v>
      </c>
      <c r="D13" s="41">
        <f t="shared" si="3"/>
        <v>265.60628611518587</v>
      </c>
      <c r="E13" s="41">
        <f t="shared" si="3"/>
        <v>766.670306948384</v>
      </c>
      <c r="F13" s="41">
        <f t="shared" si="3"/>
        <v>1089.1029990021132</v>
      </c>
      <c r="G13" s="41">
        <f>G11+G12</f>
        <v>1116.3305739771658</v>
      </c>
    </row>
    <row r="14" spans="1:7" x14ac:dyDescent="0.2">
      <c r="A14" t="s">
        <v>42</v>
      </c>
      <c r="B14" s="41">
        <f>'Income Statement'!D13</f>
        <v>227.42857142857144</v>
      </c>
      <c r="C14" s="41">
        <f>'Income Statement'!E13</f>
        <v>225.48922025359002</v>
      </c>
      <c r="D14" s="41">
        <f>'Income Statement'!F13</f>
        <v>235.8262560796681</v>
      </c>
      <c r="E14" s="41">
        <f>'Income Statement'!G13</f>
        <v>260.40983254405563</v>
      </c>
      <c r="F14" s="41">
        <f>'Income Statement'!H13</f>
        <v>283.38045114743176</v>
      </c>
      <c r="G14" s="41">
        <f>F14*(1+B25)</f>
        <v>290.46496242611755</v>
      </c>
    </row>
    <row r="15" spans="1:7" x14ac:dyDescent="0.2">
      <c r="A15" t="s">
        <v>99</v>
      </c>
      <c r="B15" s="40">
        <f>-'Capacity Expansion'!C21</f>
        <v>-201.97458725694025</v>
      </c>
      <c r="C15" s="40">
        <f>-'Capacity Expansion'!D21</f>
        <v>-361.16281547086498</v>
      </c>
      <c r="D15" s="40">
        <f>-'Capacity Expansion'!E21</f>
        <v>-558.48569717475391</v>
      </c>
      <c r="E15" s="40">
        <f>-'Capacity Expansion'!F21</f>
        <v>-561.89920171336757</v>
      </c>
      <c r="F15" s="40">
        <f>-'Capacity Expansion'!G21</f>
        <v>-441.32974130935111</v>
      </c>
      <c r="G15" s="41">
        <f>F15*(1+B25)</f>
        <v>-452.36298484208487</v>
      </c>
    </row>
    <row r="16" spans="1:7" x14ac:dyDescent="0.2">
      <c r="A16" t="s">
        <v>100</v>
      </c>
      <c r="B16" s="41">
        <f>-'Balance Sheet'!D33</f>
        <v>-60.157392686804542</v>
      </c>
      <c r="C16" s="41">
        <f>-'Balance Sheet'!E33</f>
        <v>-115.04928457869619</v>
      </c>
      <c r="D16" s="41">
        <f>-'Balance Sheet'!F33</f>
        <v>-184.26748807631157</v>
      </c>
      <c r="E16" s="41">
        <f>-'Balance Sheet'!G33</f>
        <v>-170.70395866454737</v>
      </c>
      <c r="F16" s="41">
        <f>-'Balance Sheet'!H33</f>
        <v>-99.639117329093779</v>
      </c>
      <c r="G16" s="41">
        <f>F16*(1+B25)</f>
        <v>-102.13009526232112</v>
      </c>
    </row>
    <row r="17" spans="1:7" x14ac:dyDescent="0.2">
      <c r="A17" s="2" t="s">
        <v>101</v>
      </c>
      <c r="B17" s="41">
        <f>B13+B14+B15+B16</f>
        <v>-693.4405395621867</v>
      </c>
      <c r="C17" s="41">
        <f t="shared" ref="C17:F17" si="4">C13+C14+C15+C16</f>
        <v>-533.46340195210996</v>
      </c>
      <c r="D17" s="41">
        <f t="shared" si="4"/>
        <v>-241.32064305621151</v>
      </c>
      <c r="E17" s="41">
        <f t="shared" si="4"/>
        <v>294.47697911452474</v>
      </c>
      <c r="F17" s="41">
        <f t="shared" si="4"/>
        <v>831.51459151110009</v>
      </c>
      <c r="G17" s="41">
        <f>G13+G14+G15+G16</f>
        <v>852.30245629887747</v>
      </c>
    </row>
    <row r="19" spans="1:7" x14ac:dyDescent="0.2">
      <c r="A19" t="s">
        <v>102</v>
      </c>
      <c r="B19">
        <v>1</v>
      </c>
      <c r="C19">
        <v>2</v>
      </c>
      <c r="D19">
        <v>3</v>
      </c>
      <c r="E19">
        <v>4</v>
      </c>
      <c r="F19">
        <v>5</v>
      </c>
    </row>
    <row r="20" spans="1:7" x14ac:dyDescent="0.2">
      <c r="A20" t="s">
        <v>103</v>
      </c>
      <c r="B20" s="39">
        <f>1/(1+$B$26)^B19</f>
        <v>0.89847438889179243</v>
      </c>
      <c r="C20" s="39">
        <f t="shared" ref="C20:F20" si="5">1/(1+$B$26)^C19</f>
        <v>0.80725622749447989</v>
      </c>
      <c r="D20" s="39">
        <f t="shared" si="5"/>
        <v>0.72529904567719661</v>
      </c>
      <c r="E20" s="39">
        <f t="shared" si="5"/>
        <v>0.65166261682861948</v>
      </c>
      <c r="F20" s="39">
        <f t="shared" si="5"/>
        <v>0.58550217141872019</v>
      </c>
    </row>
    <row r="21" spans="1:7" x14ac:dyDescent="0.2">
      <c r="A21" t="s">
        <v>104</v>
      </c>
      <c r="B21" s="41">
        <f>B17*B20</f>
        <v>-623.03856501593054</v>
      </c>
      <c r="C21" s="41">
        <f t="shared" ref="C21:F21" si="6">C17*C20</f>
        <v>-430.64165336623165</v>
      </c>
      <c r="D21" s="41">
        <f t="shared" si="6"/>
        <v>-175.0296321108776</v>
      </c>
      <c r="E21" s="41">
        <f t="shared" si="6"/>
        <v>191.89963880555791</v>
      </c>
      <c r="F21" s="41">
        <f t="shared" si="6"/>
        <v>486.85359889609924</v>
      </c>
    </row>
    <row r="23" spans="1:7" x14ac:dyDescent="0.2">
      <c r="A23" s="10" t="s">
        <v>105</v>
      </c>
      <c r="B23" s="11"/>
    </row>
    <row r="24" spans="1:7" x14ac:dyDescent="0.2">
      <c r="A24" t="s">
        <v>106</v>
      </c>
      <c r="B24" s="41">
        <f>SUM(B21:F21)</f>
        <v>-549.95661279138255</v>
      </c>
    </row>
    <row r="25" spans="1:7" x14ac:dyDescent="0.2">
      <c r="A25" t="s">
        <v>107</v>
      </c>
      <c r="B25" s="43">
        <f>Assumptions!B14</f>
        <v>2.5000000000000001E-2</v>
      </c>
    </row>
    <row r="26" spans="1:7" x14ac:dyDescent="0.2">
      <c r="A26" t="s">
        <v>108</v>
      </c>
      <c r="B26" s="45">
        <f>WACC!B22</f>
        <v>0.11299777975133217</v>
      </c>
    </row>
    <row r="27" spans="1:7" x14ac:dyDescent="0.2">
      <c r="A27" t="s">
        <v>109</v>
      </c>
      <c r="B27" s="41">
        <f>F17*(1+B25)/(B26-B25)</f>
        <v>9685.4995513222002</v>
      </c>
    </row>
    <row r="28" spans="1:7" x14ac:dyDescent="0.2">
      <c r="A28" t="s">
        <v>110</v>
      </c>
      <c r="B28">
        <f>B27/(1+B26)^F19</f>
        <v>5670.8810185741886</v>
      </c>
    </row>
    <row r="29" spans="1:7" x14ac:dyDescent="0.2">
      <c r="A29" s="2" t="s">
        <v>111</v>
      </c>
      <c r="B29" s="41">
        <f>B24+B28</f>
        <v>5120.9244057828064</v>
      </c>
    </row>
    <row r="30" spans="1:7" x14ac:dyDescent="0.2">
      <c r="A30" t="s">
        <v>112</v>
      </c>
      <c r="B30">
        <f>-'Debt Schedule'!B23</f>
        <v>-2070</v>
      </c>
    </row>
    <row r="31" spans="1:7" x14ac:dyDescent="0.2">
      <c r="A31" t="s">
        <v>113</v>
      </c>
      <c r="B31">
        <f>'Debt Schedule'!B25</f>
        <v>482.5</v>
      </c>
    </row>
    <row r="32" spans="1:7" x14ac:dyDescent="0.2">
      <c r="A32" s="2" t="s">
        <v>114</v>
      </c>
      <c r="B32" s="41">
        <f>B29+B30+B31</f>
        <v>3533.4244057828064</v>
      </c>
    </row>
    <row r="33" spans="1:2" x14ac:dyDescent="0.2">
      <c r="A33" t="s">
        <v>115</v>
      </c>
      <c r="B33" s="53">
        <f>WACC!B27</f>
        <v>400</v>
      </c>
    </row>
    <row r="34" spans="1:2" x14ac:dyDescent="0.2">
      <c r="A34" s="2" t="s">
        <v>116</v>
      </c>
      <c r="B34" s="54">
        <f>B32/B33</f>
        <v>8.8335610144570165</v>
      </c>
    </row>
    <row r="36" spans="1:2" x14ac:dyDescent="0.2">
      <c r="A36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7594-3CF2-4954-AB5F-765E07669DED}">
  <dimension ref="A1:G33"/>
  <sheetViews>
    <sheetView topLeftCell="A3" zoomScale="94" workbookViewId="0">
      <pane xSplit="2" ySplit="3" topLeftCell="C8" activePane="bottomRight" state="frozen"/>
      <selection activeCell="A3" sqref="A3"/>
      <selection pane="topRight" activeCell="C3" sqref="C3"/>
      <selection pane="bottomLeft" activeCell="A6" sqref="A6"/>
      <selection pane="bottomRight" activeCell="C27" sqref="C27"/>
    </sheetView>
  </sheetViews>
  <sheetFormatPr baseColWidth="10" defaultColWidth="8.83203125" defaultRowHeight="15" x14ac:dyDescent="0.2"/>
  <cols>
    <col min="1" max="1" width="54.5" customWidth="1"/>
    <col min="2" max="7" width="25.5" customWidth="1"/>
  </cols>
  <sheetData>
    <row r="1" spans="1:7" ht="19" x14ac:dyDescent="0.25">
      <c r="A1" s="1" t="s">
        <v>117</v>
      </c>
    </row>
    <row r="2" spans="1:7" x14ac:dyDescent="0.2">
      <c r="A2" s="16" t="s">
        <v>118</v>
      </c>
    </row>
    <row r="4" spans="1:7" x14ac:dyDescent="0.2">
      <c r="A4" s="2"/>
      <c r="B4" s="4" t="s">
        <v>3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94</v>
      </c>
    </row>
    <row r="6" spans="1:7" x14ac:dyDescent="0.2">
      <c r="A6" s="10" t="s">
        <v>119</v>
      </c>
      <c r="B6" s="11"/>
    </row>
    <row r="7" spans="1:7" x14ac:dyDescent="0.2">
      <c r="A7" t="s">
        <v>120</v>
      </c>
      <c r="B7" s="40">
        <f>B11/B9</f>
        <v>59.618441971383149</v>
      </c>
      <c r="C7" s="40">
        <f>B7*(1+C8)</f>
        <v>66.772655007949126</v>
      </c>
      <c r="D7" s="40">
        <f t="shared" ref="D7:G7" si="0">C7*(1+D8)</f>
        <v>83.465818759936411</v>
      </c>
      <c r="E7" s="40">
        <f t="shared" si="0"/>
        <v>112.67885532591416</v>
      </c>
      <c r="F7" s="40">
        <f t="shared" si="0"/>
        <v>144.22893481717011</v>
      </c>
      <c r="G7" s="40">
        <f t="shared" si="0"/>
        <v>170.19014308426071</v>
      </c>
    </row>
    <row r="8" spans="1:7" x14ac:dyDescent="0.2">
      <c r="A8" t="s">
        <v>121</v>
      </c>
      <c r="C8" s="42">
        <f>Assumptions!C17</f>
        <v>0.12</v>
      </c>
      <c r="D8" s="42">
        <f>Assumptions!D17</f>
        <v>0.25</v>
      </c>
      <c r="E8" s="42">
        <f>Assumptions!E17</f>
        <v>0.35</v>
      </c>
      <c r="F8" s="42">
        <f>Assumptions!F17</f>
        <v>0.28000000000000003</v>
      </c>
      <c r="G8" s="42">
        <f>Assumptions!G17</f>
        <v>0.18</v>
      </c>
    </row>
    <row r="9" spans="1:7" x14ac:dyDescent="0.2">
      <c r="A9" t="s">
        <v>122</v>
      </c>
      <c r="B9">
        <v>74</v>
      </c>
      <c r="C9">
        <f>B9+(D9-B9)/2</f>
        <v>71</v>
      </c>
      <c r="D9">
        <f>Assumptions!D18</f>
        <v>68</v>
      </c>
      <c r="E9" s="40">
        <f>D9+($G$9-$D$9)/3</f>
        <v>63.666666666666664</v>
      </c>
      <c r="F9" s="40">
        <f>E9+($G$9-$D$9)/3</f>
        <v>59.333333333333329</v>
      </c>
      <c r="G9">
        <f>Assumptions!G18</f>
        <v>55</v>
      </c>
    </row>
    <row r="10" spans="1:7" x14ac:dyDescent="0.2">
      <c r="A10" t="s">
        <v>123</v>
      </c>
      <c r="C10" s="43">
        <f>C9/B9-1</f>
        <v>-4.0540540540540571E-2</v>
      </c>
      <c r="D10" s="43">
        <f t="shared" ref="D10:G10" si="1">D9/C9-1</f>
        <v>-4.2253521126760618E-2</v>
      </c>
      <c r="E10" s="43">
        <f t="shared" si="1"/>
        <v>-6.3725490196078427E-2</v>
      </c>
      <c r="F10" s="43">
        <f t="shared" si="1"/>
        <v>-6.8062827225130906E-2</v>
      </c>
      <c r="G10" s="43">
        <f t="shared" si="1"/>
        <v>-7.3033707865168496E-2</v>
      </c>
    </row>
    <row r="11" spans="1:7" x14ac:dyDescent="0.2">
      <c r="A11" t="s">
        <v>124</v>
      </c>
      <c r="B11" s="41">
        <f>'Income Statement'!C6/(1+'Revenue &amp; Cost Drivers'!B29)</f>
        <v>4411.7647058823532</v>
      </c>
      <c r="C11" s="40">
        <f>C7*C9</f>
        <v>4740.858505564388</v>
      </c>
      <c r="D11" s="40">
        <f t="shared" ref="D11:G11" si="2">D7*D9</f>
        <v>5675.6756756756758</v>
      </c>
      <c r="E11" s="40">
        <f t="shared" si="2"/>
        <v>7173.8871224165341</v>
      </c>
      <c r="F11" s="40">
        <f t="shared" si="2"/>
        <v>8557.5834658187596</v>
      </c>
      <c r="G11" s="40">
        <f t="shared" si="2"/>
        <v>9360.4578696343397</v>
      </c>
    </row>
    <row r="12" spans="1:7" x14ac:dyDescent="0.2">
      <c r="A12" t="s">
        <v>125</v>
      </c>
      <c r="B12" s="41">
        <f>B11*B29</f>
        <v>88.235294117647058</v>
      </c>
      <c r="C12" s="40">
        <f>C11*C29</f>
        <v>94.817170111287766</v>
      </c>
      <c r="D12" s="40">
        <f t="shared" ref="D12:G12" si="3">D11*D29</f>
        <v>113.51351351351352</v>
      </c>
      <c r="E12" s="40">
        <f t="shared" si="3"/>
        <v>143.47774244833067</v>
      </c>
      <c r="F12" s="40">
        <f t="shared" si="3"/>
        <v>171.15166931637521</v>
      </c>
      <c r="G12" s="40">
        <f t="shared" si="3"/>
        <v>187.20915739268679</v>
      </c>
    </row>
    <row r="13" spans="1:7" x14ac:dyDescent="0.2">
      <c r="A13" s="2" t="s">
        <v>126</v>
      </c>
      <c r="B13" s="41">
        <f>B11+B12</f>
        <v>4500</v>
      </c>
      <c r="C13" s="40">
        <f>C11+C12</f>
        <v>4835.6756756756758</v>
      </c>
      <c r="D13" s="40">
        <f t="shared" ref="D13:G13" si="4">D11+D12</f>
        <v>5789.1891891891892</v>
      </c>
      <c r="E13" s="40">
        <f t="shared" si="4"/>
        <v>7317.364864864865</v>
      </c>
      <c r="F13" s="40">
        <f t="shared" si="4"/>
        <v>8728.7351351351354</v>
      </c>
      <c r="G13" s="40">
        <f t="shared" si="4"/>
        <v>9547.6670270270261</v>
      </c>
    </row>
    <row r="15" spans="1:7" x14ac:dyDescent="0.2">
      <c r="A15" s="10" t="s">
        <v>127</v>
      </c>
      <c r="B15" s="11"/>
    </row>
    <row r="16" spans="1:7" x14ac:dyDescent="0.2">
      <c r="A16" t="s">
        <v>128</v>
      </c>
      <c r="B16">
        <f>Assumptions!B22</f>
        <v>21</v>
      </c>
      <c r="C16">
        <f>Assumptions!C22</f>
        <v>18.5</v>
      </c>
      <c r="D16">
        <f>Assumptions!D22</f>
        <v>15.8</v>
      </c>
      <c r="E16">
        <f>Assumptions!E22</f>
        <v>13.2</v>
      </c>
      <c r="F16">
        <f>Assumptions!F22</f>
        <v>11.5</v>
      </c>
      <c r="G16">
        <f>Assumptions!G22</f>
        <v>10.199999999999999</v>
      </c>
    </row>
    <row r="17" spans="1:7" x14ac:dyDescent="0.2">
      <c r="A17" t="s">
        <v>129</v>
      </c>
      <c r="B17">
        <f>Assumptions!B23</f>
        <v>45</v>
      </c>
      <c r="C17">
        <f>Assumptions!C23</f>
        <v>42</v>
      </c>
      <c r="D17">
        <f>Assumptions!D23</f>
        <v>38.5</v>
      </c>
      <c r="E17">
        <f>Assumptions!E23</f>
        <v>34</v>
      </c>
      <c r="F17">
        <f>Assumptions!F23</f>
        <v>30.5</v>
      </c>
      <c r="G17">
        <f>Assumptions!G23</f>
        <v>28</v>
      </c>
    </row>
    <row r="18" spans="1:7" x14ac:dyDescent="0.2">
      <c r="A18" t="s">
        <v>130</v>
      </c>
      <c r="B18">
        <f>B16+B17</f>
        <v>66</v>
      </c>
      <c r="C18">
        <f t="shared" ref="C18:G18" si="5">C16+C17</f>
        <v>60.5</v>
      </c>
      <c r="D18">
        <f t="shared" si="5"/>
        <v>54.3</v>
      </c>
      <c r="E18">
        <f t="shared" si="5"/>
        <v>47.2</v>
      </c>
      <c r="F18">
        <f t="shared" si="5"/>
        <v>42</v>
      </c>
      <c r="G18">
        <f t="shared" si="5"/>
        <v>38.200000000000003</v>
      </c>
    </row>
    <row r="19" spans="1:7" x14ac:dyDescent="0.2">
      <c r="A19" s="2" t="s">
        <v>131</v>
      </c>
      <c r="B19">
        <f>'Income Statement'!C8</f>
        <v>3375</v>
      </c>
      <c r="C19" s="41">
        <f>C7*C18</f>
        <v>4039.7456279809221</v>
      </c>
      <c r="D19" s="41">
        <f t="shared" ref="D19:G19" si="6">D7*D18</f>
        <v>4532.1939586645467</v>
      </c>
      <c r="E19" s="41">
        <f t="shared" si="6"/>
        <v>5318.4419713831485</v>
      </c>
      <c r="F19" s="41">
        <f t="shared" si="6"/>
        <v>6057.6152623211447</v>
      </c>
      <c r="G19" s="41">
        <f t="shared" si="6"/>
        <v>6501.2634658187599</v>
      </c>
    </row>
    <row r="20" spans="1:7" x14ac:dyDescent="0.2">
      <c r="A20" t="s">
        <v>17</v>
      </c>
      <c r="B20" s="42">
        <f>(B13-B19)/B13</f>
        <v>0.25</v>
      </c>
      <c r="C20" s="42">
        <f>(C13-C19)/C13</f>
        <v>0.16459541563104119</v>
      </c>
      <c r="D20" s="42">
        <f t="shared" ref="D20:G20" si="7">(D13-D19)/D13</f>
        <v>0.21712802768166092</v>
      </c>
      <c r="E20" s="42">
        <f t="shared" si="7"/>
        <v>0.27317523868186011</v>
      </c>
      <c r="F20" s="42">
        <f t="shared" si="7"/>
        <v>0.30601454064771977</v>
      </c>
      <c r="G20" s="42">
        <f t="shared" si="7"/>
        <v>0.31907308377896609</v>
      </c>
    </row>
    <row r="21" spans="1:7" x14ac:dyDescent="0.2">
      <c r="A21" t="s">
        <v>132</v>
      </c>
      <c r="B21" s="42">
        <f>'Income Statement'!C10/'Revenue &amp; Cost Drivers'!B13</f>
        <v>0.08</v>
      </c>
      <c r="C21" s="42">
        <f>Assumptions!C26</f>
        <v>0.14000000000000001</v>
      </c>
      <c r="D21" s="42">
        <f>Assumptions!D26</f>
        <v>0.115</v>
      </c>
      <c r="E21" s="42">
        <f>Assumptions!E26</f>
        <v>0.09</v>
      </c>
      <c r="F21" s="42">
        <f>Assumptions!F26</f>
        <v>7.4999999999999997E-2</v>
      </c>
      <c r="G21" s="42">
        <f>Assumptions!G26</f>
        <v>6.5000000000000002E-2</v>
      </c>
    </row>
    <row r="22" spans="1:7" x14ac:dyDescent="0.2">
      <c r="A22" t="s">
        <v>133</v>
      </c>
      <c r="B22">
        <f>'Income Statement'!C10</f>
        <v>360</v>
      </c>
      <c r="C22" s="44">
        <f>C13*C21</f>
        <v>676.99459459459467</v>
      </c>
      <c r="D22" s="44">
        <f t="shared" ref="D22:G22" si="8">D13*D21</f>
        <v>665.75675675675677</v>
      </c>
      <c r="E22" s="44">
        <f t="shared" si="8"/>
        <v>658.56283783783783</v>
      </c>
      <c r="F22" s="44">
        <f t="shared" si="8"/>
        <v>654.65513513513508</v>
      </c>
      <c r="G22" s="44">
        <f t="shared" si="8"/>
        <v>620.59835675675674</v>
      </c>
    </row>
    <row r="23" spans="1:7" x14ac:dyDescent="0.2">
      <c r="A23" t="s">
        <v>134</v>
      </c>
      <c r="B23" s="42">
        <f>'Income Statement'!C11/'Revenue &amp; Cost Drivers'!B13</f>
        <v>0.1</v>
      </c>
      <c r="C23" s="42">
        <f>Assumptions!C27</f>
        <v>0.15</v>
      </c>
      <c r="D23" s="42">
        <f>Assumptions!D27</f>
        <v>0.125</v>
      </c>
      <c r="E23" s="42">
        <f>Assumptions!E27</f>
        <v>0.105</v>
      </c>
      <c r="F23" s="42">
        <f>Assumptions!F27</f>
        <v>0.09</v>
      </c>
      <c r="G23" s="42">
        <f>Assumptions!G27</f>
        <v>0.08</v>
      </c>
    </row>
    <row r="24" spans="1:7" x14ac:dyDescent="0.2">
      <c r="A24" t="s">
        <v>135</v>
      </c>
      <c r="B24">
        <f>'Income Statement'!C11</f>
        <v>450</v>
      </c>
      <c r="C24" s="40">
        <f>C13*C23</f>
        <v>725.35135135135135</v>
      </c>
      <c r="D24" s="40">
        <f t="shared" ref="D24:G24" si="9">D13*D23</f>
        <v>723.64864864864865</v>
      </c>
      <c r="E24" s="40">
        <f t="shared" si="9"/>
        <v>768.32331081081077</v>
      </c>
      <c r="F24" s="40">
        <f t="shared" si="9"/>
        <v>785.58616216216217</v>
      </c>
      <c r="G24" s="40">
        <f t="shared" si="9"/>
        <v>763.81336216216209</v>
      </c>
    </row>
    <row r="26" spans="1:7" x14ac:dyDescent="0.2">
      <c r="A26" s="15"/>
    </row>
    <row r="28" spans="1:7" x14ac:dyDescent="0.2">
      <c r="A28" s="26" t="s">
        <v>196</v>
      </c>
      <c r="B28" s="34"/>
    </row>
    <row r="29" spans="1:7" x14ac:dyDescent="0.2">
      <c r="A29" t="s">
        <v>197</v>
      </c>
      <c r="B29" s="35">
        <f>Assumptions!$B$19</f>
        <v>0.02</v>
      </c>
      <c r="C29" s="35">
        <f>Assumptions!$B$19</f>
        <v>0.02</v>
      </c>
      <c r="D29" s="35">
        <f>Assumptions!$B$19</f>
        <v>0.02</v>
      </c>
      <c r="E29" s="35">
        <f>Assumptions!$B$19</f>
        <v>0.02</v>
      </c>
      <c r="F29" s="35">
        <f>Assumptions!$B$19</f>
        <v>0.02</v>
      </c>
      <c r="G29" s="35">
        <f>Assumptions!$B$19</f>
        <v>0.02</v>
      </c>
    </row>
    <row r="30" spans="1:7" x14ac:dyDescent="0.2">
      <c r="A30" s="27" t="s">
        <v>198</v>
      </c>
    </row>
    <row r="31" spans="1:7" x14ac:dyDescent="0.2">
      <c r="A31" s="27" t="s">
        <v>199</v>
      </c>
      <c r="B31" s="38">
        <f>B7*B18</f>
        <v>3934.8171701112879</v>
      </c>
    </row>
    <row r="32" spans="1:7" x14ac:dyDescent="0.2">
      <c r="A32" s="27" t="s">
        <v>200</v>
      </c>
      <c r="B32" s="38">
        <f>B31-B19</f>
        <v>559.81717011128785</v>
      </c>
    </row>
    <row r="33" spans="1:1" x14ac:dyDescent="0.2">
      <c r="A33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A697-1E13-4455-98E3-80B97835E738}">
  <dimension ref="A1:G33"/>
  <sheetViews>
    <sheetView topLeftCell="A2" zoomScale="85" zoomScaleNormal="108" workbookViewId="0">
      <selection activeCell="C4" sqref="C4:G4"/>
    </sheetView>
  </sheetViews>
  <sheetFormatPr baseColWidth="10" defaultColWidth="8.83203125" defaultRowHeight="15" x14ac:dyDescent="0.2"/>
  <cols>
    <col min="1" max="1" width="61.83203125" customWidth="1"/>
    <col min="2" max="7" width="25.5" customWidth="1"/>
  </cols>
  <sheetData>
    <row r="1" spans="1:7" ht="19" x14ac:dyDescent="0.25">
      <c r="A1" s="1" t="s">
        <v>136</v>
      </c>
    </row>
    <row r="2" spans="1:7" x14ac:dyDescent="0.2">
      <c r="A2" s="16" t="s">
        <v>137</v>
      </c>
    </row>
    <row r="4" spans="1:7" x14ac:dyDescent="0.2">
      <c r="A4" s="2"/>
      <c r="B4" s="4" t="s">
        <v>3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94</v>
      </c>
    </row>
    <row r="6" spans="1:7" x14ac:dyDescent="0.2">
      <c r="A6" s="10" t="s">
        <v>138</v>
      </c>
      <c r="B6" s="11"/>
    </row>
    <row r="7" spans="1:7" x14ac:dyDescent="0.2">
      <c r="A7" t="s">
        <v>139</v>
      </c>
      <c r="B7" s="40">
        <f>'Revenue &amp; Cost Drivers'!B7</f>
        <v>59.618441971383149</v>
      </c>
      <c r="C7" s="40">
        <f>'Revenue &amp; Cost Drivers'!C7</f>
        <v>66.772655007949126</v>
      </c>
      <c r="D7" s="40">
        <f>'Revenue &amp; Cost Drivers'!D7</f>
        <v>83.465818759936411</v>
      </c>
      <c r="E7" s="40">
        <f>'Revenue &amp; Cost Drivers'!E7</f>
        <v>112.67885532591416</v>
      </c>
      <c r="F7" s="40">
        <f>'Revenue &amp; Cost Drivers'!F7</f>
        <v>144.22893481717011</v>
      </c>
      <c r="G7" s="40">
        <f>'Revenue &amp; Cost Drivers'!G7</f>
        <v>170.19014308426071</v>
      </c>
    </row>
    <row r="8" spans="1:7" x14ac:dyDescent="0.2">
      <c r="A8" t="s">
        <v>140</v>
      </c>
      <c r="B8">
        <f>B7/B9</f>
        <v>100</v>
      </c>
      <c r="C8" s="40">
        <f t="shared" ref="C8:G8" si="0">C7/C9</f>
        <v>102.72716155069097</v>
      </c>
      <c r="D8" s="40">
        <f t="shared" si="0"/>
        <v>117.14500878587566</v>
      </c>
      <c r="E8" s="40">
        <f t="shared" si="0"/>
        <v>145.39207138827632</v>
      </c>
      <c r="F8" s="40">
        <f t="shared" si="0"/>
        <v>172.21365351303893</v>
      </c>
      <c r="G8" s="40">
        <f t="shared" si="0"/>
        <v>189.10015898251189</v>
      </c>
    </row>
    <row r="9" spans="1:7" x14ac:dyDescent="0.2">
      <c r="A9" t="s">
        <v>141</v>
      </c>
      <c r="B9" s="43">
        <f>B7/B15</f>
        <v>0.59618441971383151</v>
      </c>
      <c r="C9" s="42">
        <f>Assumptions!C31</f>
        <v>0.65</v>
      </c>
      <c r="D9" s="45">
        <f>C9+($G$9-$C$9)/4</f>
        <v>0.71250000000000002</v>
      </c>
      <c r="E9" s="45">
        <f t="shared" ref="E9:F9" si="1">D9+($G$9-$C$9)/4</f>
        <v>0.77500000000000002</v>
      </c>
      <c r="F9" s="45">
        <f t="shared" si="1"/>
        <v>0.83750000000000002</v>
      </c>
      <c r="G9" s="42">
        <f>Assumptions!G31</f>
        <v>0.9</v>
      </c>
    </row>
    <row r="11" spans="1:7" x14ac:dyDescent="0.2">
      <c r="A11" s="10" t="s">
        <v>142</v>
      </c>
      <c r="B11" s="11"/>
    </row>
    <row r="12" spans="1:7" x14ac:dyDescent="0.2">
      <c r="A12" t="s">
        <v>143</v>
      </c>
      <c r="C12">
        <f>B15</f>
        <v>100</v>
      </c>
      <c r="D12" s="40">
        <f t="shared" ref="D12:G12" si="2">C15</f>
        <v>102.72716155069097</v>
      </c>
      <c r="E12" s="40">
        <f t="shared" si="2"/>
        <v>117.14500878587566</v>
      </c>
      <c r="F12" s="40">
        <f t="shared" si="2"/>
        <v>145.39207138827632</v>
      </c>
      <c r="G12" s="40">
        <f t="shared" si="2"/>
        <v>172.21365351303893</v>
      </c>
    </row>
    <row r="13" spans="1:7" x14ac:dyDescent="0.2">
      <c r="A13" t="s">
        <v>144</v>
      </c>
      <c r="C13" s="40">
        <f>MAX(0,C8-C12)</f>
        <v>2.7271615506909654</v>
      </c>
      <c r="D13" s="40">
        <f t="shared" ref="D13:G13" si="3">MAX(0,D8-D12)</f>
        <v>14.417847235184695</v>
      </c>
      <c r="E13" s="40">
        <f t="shared" si="3"/>
        <v>28.247062602400661</v>
      </c>
      <c r="F13" s="40">
        <f t="shared" si="3"/>
        <v>26.821582124762614</v>
      </c>
      <c r="G13" s="40">
        <f t="shared" si="3"/>
        <v>16.886505469472951</v>
      </c>
    </row>
    <row r="14" spans="1:7" x14ac:dyDescent="0.2">
      <c r="A14" t="s">
        <v>145</v>
      </c>
      <c r="C14" s="40">
        <f>C13</f>
        <v>2.7271615506909654</v>
      </c>
      <c r="D14" s="40">
        <f t="shared" ref="D14:G14" si="4">D13</f>
        <v>14.417847235184695</v>
      </c>
      <c r="E14" s="40">
        <f t="shared" si="4"/>
        <v>28.247062602400661</v>
      </c>
      <c r="F14" s="40">
        <f t="shared" si="4"/>
        <v>26.821582124762614</v>
      </c>
      <c r="G14" s="40">
        <f t="shared" si="4"/>
        <v>16.886505469472951</v>
      </c>
    </row>
    <row r="15" spans="1:7" x14ac:dyDescent="0.2">
      <c r="A15" s="2" t="s">
        <v>146</v>
      </c>
      <c r="B15">
        <f>Assumptions!$B$30</f>
        <v>100</v>
      </c>
      <c r="C15" s="40">
        <f>C12+C14</f>
        <v>102.72716155069097</v>
      </c>
      <c r="D15" s="40">
        <f t="shared" ref="D15:G15" si="5">D12+D14</f>
        <v>117.14500878587566</v>
      </c>
      <c r="E15" s="40">
        <f t="shared" si="5"/>
        <v>145.39207138827632</v>
      </c>
      <c r="F15" s="40">
        <f t="shared" si="5"/>
        <v>172.21365351303893</v>
      </c>
      <c r="G15" s="40">
        <f t="shared" si="5"/>
        <v>189.10015898251189</v>
      </c>
    </row>
    <row r="17" spans="1:7" x14ac:dyDescent="0.2">
      <c r="A17" s="10" t="s">
        <v>147</v>
      </c>
      <c r="B17" s="11"/>
    </row>
    <row r="18" spans="1:7" x14ac:dyDescent="0.2">
      <c r="A18" t="s">
        <v>148</v>
      </c>
      <c r="C18">
        <f>Assumptions!$B$32</f>
        <v>12</v>
      </c>
      <c r="D18">
        <f>Assumptions!$B$32</f>
        <v>12</v>
      </c>
      <c r="E18">
        <f>Assumptions!$B$32</f>
        <v>12</v>
      </c>
      <c r="F18">
        <f>Assumptions!$B$32</f>
        <v>12</v>
      </c>
      <c r="G18">
        <f>Assumptions!$B$32</f>
        <v>12</v>
      </c>
    </row>
    <row r="19" spans="1:7" x14ac:dyDescent="0.2">
      <c r="A19" t="s">
        <v>149</v>
      </c>
      <c r="C19" s="40">
        <f>C14*C18</f>
        <v>32.725938608291585</v>
      </c>
      <c r="D19" s="40">
        <f t="shared" ref="D19:G19" si="6">D14*D18</f>
        <v>173.01416682221634</v>
      </c>
      <c r="E19" s="40">
        <f t="shared" si="6"/>
        <v>338.96475122880793</v>
      </c>
      <c r="F19" s="40">
        <f t="shared" si="6"/>
        <v>321.85898549715137</v>
      </c>
      <c r="G19" s="40">
        <f t="shared" si="6"/>
        <v>202.63806563367541</v>
      </c>
    </row>
    <row r="20" spans="1:7" x14ac:dyDescent="0.2">
      <c r="A20" t="s">
        <v>150</v>
      </c>
      <c r="C20" s="41">
        <f>'Revenue &amp; Cost Drivers'!C13*C31</f>
        <v>169.24864864864867</v>
      </c>
      <c r="D20" s="41">
        <f>'Revenue &amp; Cost Drivers'!D13*D31</f>
        <v>188.14864864864865</v>
      </c>
      <c r="E20" s="41">
        <f>'Revenue &amp; Cost Drivers'!E13*E31</f>
        <v>219.52094594594595</v>
      </c>
      <c r="F20" s="41">
        <f>'Revenue &amp; Cost Drivers'!F13*F31</f>
        <v>240.04021621621618</v>
      </c>
      <c r="G20" s="41">
        <f>'Revenue &amp; Cost Drivers'!G13*G31</f>
        <v>238.69167567567567</v>
      </c>
    </row>
    <row r="21" spans="1:7" x14ac:dyDescent="0.2">
      <c r="A21" s="2" t="s">
        <v>151</v>
      </c>
      <c r="B21">
        <f>-'Cash Flow Statement'!C14</f>
        <v>560</v>
      </c>
      <c r="C21" s="40">
        <f>C19+C20</f>
        <v>201.97458725694025</v>
      </c>
      <c r="D21" s="40">
        <f t="shared" ref="D21:G21" si="7">D19+D20</f>
        <v>361.16281547086498</v>
      </c>
      <c r="E21" s="40">
        <f t="shared" si="7"/>
        <v>558.48569717475391</v>
      </c>
      <c r="F21" s="40">
        <f t="shared" si="7"/>
        <v>561.89920171336757</v>
      </c>
      <c r="G21" s="40">
        <f t="shared" si="7"/>
        <v>441.32974130935111</v>
      </c>
    </row>
    <row r="23" spans="1:7" x14ac:dyDescent="0.2">
      <c r="A23" s="10" t="s">
        <v>152</v>
      </c>
      <c r="B23" s="11"/>
    </row>
    <row r="24" spans="1:7" x14ac:dyDescent="0.2">
      <c r="A24" t="s">
        <v>153</v>
      </c>
      <c r="B24">
        <f>'Balance Sheet'!B10</f>
        <v>2625</v>
      </c>
      <c r="C24">
        <f>B27</f>
        <v>2985</v>
      </c>
      <c r="D24" s="41">
        <f t="shared" ref="D24:G24" si="8">C27</f>
        <v>2959.5460158283686</v>
      </c>
      <c r="E24" s="41">
        <f t="shared" si="8"/>
        <v>3095.2196110456434</v>
      </c>
      <c r="F24" s="41">
        <f t="shared" si="8"/>
        <v>3417.8790521407295</v>
      </c>
      <c r="G24" s="41">
        <f t="shared" si="8"/>
        <v>3719.3684213100414</v>
      </c>
    </row>
    <row r="25" spans="1:7" x14ac:dyDescent="0.2">
      <c r="A25" t="s">
        <v>154</v>
      </c>
      <c r="B25">
        <f>B21</f>
        <v>560</v>
      </c>
      <c r="C25" s="40">
        <f>C21</f>
        <v>201.97458725694025</v>
      </c>
      <c r="D25" s="40">
        <f t="shared" ref="D25:G25" si="9">D21</f>
        <v>361.16281547086498</v>
      </c>
      <c r="E25" s="40">
        <f t="shared" si="9"/>
        <v>558.48569717475391</v>
      </c>
      <c r="F25" s="40">
        <f t="shared" si="9"/>
        <v>561.89920171336757</v>
      </c>
      <c r="G25" s="40">
        <f t="shared" si="9"/>
        <v>441.32974130935111</v>
      </c>
    </row>
    <row r="26" spans="1:7" x14ac:dyDescent="0.2">
      <c r="A26" t="s">
        <v>155</v>
      </c>
      <c r="B26">
        <f>'Income Statement'!C13</f>
        <v>200</v>
      </c>
      <c r="C26" s="40">
        <f>C24*C32</f>
        <v>227.42857142857144</v>
      </c>
      <c r="D26" s="40">
        <f t="shared" ref="D26:G26" si="10">D24*D32</f>
        <v>225.48922025359002</v>
      </c>
      <c r="E26" s="40">
        <f t="shared" si="10"/>
        <v>235.8262560796681</v>
      </c>
      <c r="F26" s="40">
        <f t="shared" si="10"/>
        <v>260.40983254405563</v>
      </c>
      <c r="G26" s="40">
        <f t="shared" si="10"/>
        <v>283.38045114743176</v>
      </c>
    </row>
    <row r="27" spans="1:7" x14ac:dyDescent="0.2">
      <c r="A27" s="2" t="s">
        <v>156</v>
      </c>
      <c r="B27">
        <f>B24+B25-B26</f>
        <v>2985</v>
      </c>
      <c r="C27" s="40">
        <f>C24+C25-C26</f>
        <v>2959.5460158283686</v>
      </c>
      <c r="D27" s="40">
        <f t="shared" ref="D27:G27" si="11">D24+D25-D26</f>
        <v>3095.2196110456434</v>
      </c>
      <c r="E27" s="40">
        <f t="shared" si="11"/>
        <v>3417.8790521407295</v>
      </c>
      <c r="F27" s="40">
        <f t="shared" si="11"/>
        <v>3719.3684213100414</v>
      </c>
      <c r="G27" s="40">
        <f t="shared" si="11"/>
        <v>3877.317711471961</v>
      </c>
    </row>
    <row r="28" spans="1:7" x14ac:dyDescent="0.2">
      <c r="A28" s="26" t="s">
        <v>196</v>
      </c>
      <c r="B28" s="34"/>
    </row>
    <row r="29" spans="1:7" x14ac:dyDescent="0.2">
      <c r="A29" t="s">
        <v>197</v>
      </c>
      <c r="B29" s="35"/>
      <c r="C29" s="35"/>
      <c r="D29" s="35"/>
      <c r="E29" s="35"/>
      <c r="F29" s="35"/>
      <c r="G29" s="35"/>
    </row>
    <row r="30" spans="1:7" x14ac:dyDescent="0.2">
      <c r="A30" s="27" t="s">
        <v>198</v>
      </c>
    </row>
    <row r="31" spans="1:7" x14ac:dyDescent="0.2">
      <c r="A31" s="27" t="s">
        <v>199</v>
      </c>
      <c r="B31" s="38"/>
      <c r="C31" s="43">
        <f>Assumptions!C33</f>
        <v>3.5000000000000003E-2</v>
      </c>
      <c r="D31" s="6">
        <f>C31+($G$31-$C$31)/4</f>
        <v>3.2500000000000001E-2</v>
      </c>
      <c r="E31" s="6">
        <f t="shared" ref="E31:F31" si="12">D31+($G$31-$C$31)/4</f>
        <v>0.03</v>
      </c>
      <c r="F31" s="6">
        <f t="shared" si="12"/>
        <v>2.7499999999999997E-2</v>
      </c>
      <c r="G31" s="43">
        <f>Assumptions!G33</f>
        <v>2.5000000000000001E-2</v>
      </c>
    </row>
    <row r="32" spans="1:7" x14ac:dyDescent="0.2">
      <c r="A32" s="27" t="s">
        <v>200</v>
      </c>
      <c r="B32" s="46">
        <f>'Income Statement'!C13/'Balance Sheet'!B10</f>
        <v>7.6190476190476197E-2</v>
      </c>
      <c r="C32" s="45">
        <f>B32</f>
        <v>7.6190476190476197E-2</v>
      </c>
      <c r="D32" s="45">
        <f t="shared" ref="D32:G32" si="13">C32</f>
        <v>7.6190476190476197E-2</v>
      </c>
      <c r="E32" s="45">
        <f t="shared" si="13"/>
        <v>7.6190476190476197E-2</v>
      </c>
      <c r="F32" s="45">
        <f t="shared" si="13"/>
        <v>7.6190476190476197E-2</v>
      </c>
      <c r="G32" s="45">
        <f t="shared" si="13"/>
        <v>7.6190476190476197E-2</v>
      </c>
    </row>
    <row r="33" spans="1:1" x14ac:dyDescent="0.2">
      <c r="A33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959C-2BDF-4BA6-B247-330DBDC169B1}">
  <dimension ref="A1:G32"/>
  <sheetViews>
    <sheetView topLeftCell="A4" zoomScale="88" workbookViewId="0">
      <selection activeCell="B25" sqref="B25:G25"/>
    </sheetView>
  </sheetViews>
  <sheetFormatPr baseColWidth="10" defaultColWidth="8.83203125" defaultRowHeight="15" x14ac:dyDescent="0.2"/>
  <cols>
    <col min="1" max="1" width="58.1640625" customWidth="1"/>
    <col min="2" max="7" width="25.5" customWidth="1"/>
  </cols>
  <sheetData>
    <row r="1" spans="1:7" ht="19" x14ac:dyDescent="0.25">
      <c r="A1" s="1" t="s">
        <v>157</v>
      </c>
    </row>
    <row r="2" spans="1:7" x14ac:dyDescent="0.2">
      <c r="A2" s="16" t="s">
        <v>158</v>
      </c>
    </row>
    <row r="4" spans="1:7" x14ac:dyDescent="0.2">
      <c r="A4" s="2"/>
      <c r="B4" s="4" t="s">
        <v>3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94</v>
      </c>
    </row>
    <row r="6" spans="1:7" x14ac:dyDescent="0.2">
      <c r="A6" s="10" t="s">
        <v>159</v>
      </c>
      <c r="B6" s="11"/>
    </row>
    <row r="7" spans="1:7" x14ac:dyDescent="0.2">
      <c r="A7" t="s">
        <v>160</v>
      </c>
      <c r="B7">
        <f>'Balance Sheet'!B15</f>
        <v>190</v>
      </c>
      <c r="C7">
        <f>B10</f>
        <v>190</v>
      </c>
      <c r="D7">
        <f t="shared" ref="D7:G7" si="0">C10</f>
        <v>190</v>
      </c>
      <c r="E7">
        <f t="shared" si="0"/>
        <v>190</v>
      </c>
      <c r="F7">
        <f t="shared" si="0"/>
        <v>190</v>
      </c>
      <c r="G7">
        <f t="shared" si="0"/>
        <v>190</v>
      </c>
    </row>
    <row r="8" spans="1:7" x14ac:dyDescent="0.2">
      <c r="A8" t="s">
        <v>161</v>
      </c>
      <c r="C8">
        <f>Assumptions!$B$36</f>
        <v>0</v>
      </c>
      <c r="D8">
        <f>Assumptions!$B$36</f>
        <v>0</v>
      </c>
      <c r="E8">
        <f>Assumptions!$B$36</f>
        <v>0</v>
      </c>
      <c r="F8">
        <f>Assumptions!$B$36</f>
        <v>0</v>
      </c>
      <c r="G8">
        <f>Assumptions!$B$36</f>
        <v>0</v>
      </c>
    </row>
    <row r="9" spans="1:7" x14ac:dyDescent="0.2">
      <c r="A9" t="s">
        <v>162</v>
      </c>
      <c r="C9">
        <f>Assumptions!$B$37</f>
        <v>0</v>
      </c>
      <c r="D9">
        <f>Assumptions!$B$37</f>
        <v>0</v>
      </c>
      <c r="E9">
        <f>Assumptions!$B$37</f>
        <v>0</v>
      </c>
      <c r="F9">
        <f>Assumptions!$B$37</f>
        <v>0</v>
      </c>
      <c r="G9">
        <f>Assumptions!$B$37</f>
        <v>0</v>
      </c>
    </row>
    <row r="10" spans="1:7" x14ac:dyDescent="0.2">
      <c r="A10" s="2" t="s">
        <v>163</v>
      </c>
      <c r="B10">
        <f>'Balance Sheet'!C15</f>
        <v>190</v>
      </c>
      <c r="C10">
        <f>C7+C8+C9</f>
        <v>190</v>
      </c>
      <c r="D10">
        <f t="shared" ref="D10:G10" si="1">D7+D8+D9</f>
        <v>190</v>
      </c>
      <c r="E10">
        <f t="shared" si="1"/>
        <v>190</v>
      </c>
      <c r="F10">
        <f t="shared" si="1"/>
        <v>190</v>
      </c>
      <c r="G10">
        <f t="shared" si="1"/>
        <v>190</v>
      </c>
    </row>
    <row r="11" spans="1:7" x14ac:dyDescent="0.2">
      <c r="A11" t="s">
        <v>164</v>
      </c>
      <c r="C11" s="45">
        <f>WACC!$B$11</f>
        <v>7.4999999999999997E-2</v>
      </c>
      <c r="D11" s="45">
        <f>WACC!$B$11</f>
        <v>7.4999999999999997E-2</v>
      </c>
      <c r="E11" s="45">
        <f>WACC!$B$11</f>
        <v>7.4999999999999997E-2</v>
      </c>
      <c r="F11" s="45">
        <f>WACC!$B$11</f>
        <v>7.4999999999999997E-2</v>
      </c>
      <c r="G11" s="45">
        <f>WACC!$B$11</f>
        <v>7.4999999999999997E-2</v>
      </c>
    </row>
    <row r="12" spans="1:7" x14ac:dyDescent="0.2">
      <c r="A12" t="s">
        <v>13</v>
      </c>
      <c r="C12" s="41">
        <f>C7*C11</f>
        <v>14.25</v>
      </c>
      <c r="D12" s="41">
        <f t="shared" ref="D12:G12" si="2">D7*D11</f>
        <v>14.25</v>
      </c>
      <c r="E12" s="41">
        <f t="shared" si="2"/>
        <v>14.25</v>
      </c>
      <c r="F12" s="41">
        <f t="shared" si="2"/>
        <v>14.25</v>
      </c>
      <c r="G12" s="41">
        <f t="shared" si="2"/>
        <v>14.25</v>
      </c>
    </row>
    <row r="14" spans="1:7" x14ac:dyDescent="0.2">
      <c r="A14" s="10" t="s">
        <v>165</v>
      </c>
      <c r="B14" s="11"/>
    </row>
    <row r="15" spans="1:7" x14ac:dyDescent="0.2">
      <c r="A15" t="s">
        <v>160</v>
      </c>
      <c r="B15">
        <f>'Balance Sheet'!B17</f>
        <v>1700</v>
      </c>
      <c r="C15">
        <f>B18</f>
        <v>1880</v>
      </c>
      <c r="D15" s="40">
        <f t="shared" ref="D15:G15" si="3">C18</f>
        <v>1886.9872936284701</v>
      </c>
      <c r="E15" s="40">
        <f t="shared" si="3"/>
        <v>1973.219336682479</v>
      </c>
      <c r="F15" s="40">
        <f t="shared" si="3"/>
        <v>2153.8012184357322</v>
      </c>
      <c r="G15" s="40">
        <f t="shared" si="3"/>
        <v>2327.0607583706296</v>
      </c>
    </row>
    <row r="16" spans="1:7" x14ac:dyDescent="0.2">
      <c r="A16" t="s">
        <v>166</v>
      </c>
      <c r="B16">
        <f>'Cash Flow Statement'!C18</f>
        <v>280</v>
      </c>
      <c r="C16" s="40">
        <f>C30*'Capacity Expansion'!C21</f>
        <v>100.98729362847013</v>
      </c>
      <c r="D16" s="40">
        <f>D30*'Capacity Expansion'!D21</f>
        <v>180.58140773543249</v>
      </c>
      <c r="E16" s="40">
        <f>E30*'Capacity Expansion'!E21</f>
        <v>279.24284858737695</v>
      </c>
      <c r="F16" s="40">
        <f>F30*'Capacity Expansion'!F21</f>
        <v>280.94960085668379</v>
      </c>
      <c r="G16" s="40">
        <f>G30*'Capacity Expansion'!G21</f>
        <v>220.66487065467555</v>
      </c>
    </row>
    <row r="17" spans="1:7" x14ac:dyDescent="0.2">
      <c r="A17" t="s">
        <v>167</v>
      </c>
      <c r="B17">
        <f>'Cash Flow Statement'!C19</f>
        <v>-100</v>
      </c>
      <c r="C17">
        <f>-C31*C15</f>
        <v>-94</v>
      </c>
      <c r="D17" s="40">
        <f t="shared" ref="D17:G17" si="4">-D31*D15</f>
        <v>-94.349364681423509</v>
      </c>
      <c r="E17" s="40">
        <f t="shared" si="4"/>
        <v>-98.660966834123954</v>
      </c>
      <c r="F17" s="40">
        <f t="shared" si="4"/>
        <v>-107.69006092178661</v>
      </c>
      <c r="G17" s="40">
        <f t="shared" si="4"/>
        <v>-116.35303791853148</v>
      </c>
    </row>
    <row r="18" spans="1:7" x14ac:dyDescent="0.2">
      <c r="A18" s="2" t="s">
        <v>163</v>
      </c>
      <c r="B18">
        <f>B15+B16+B17</f>
        <v>1880</v>
      </c>
      <c r="C18" s="41">
        <f>C15+C16+C17</f>
        <v>1886.9872936284701</v>
      </c>
      <c r="D18" s="41">
        <f t="shared" ref="D18:G18" si="5">D15+D16+D17</f>
        <v>1973.219336682479</v>
      </c>
      <c r="E18" s="41">
        <f t="shared" si="5"/>
        <v>2153.8012184357322</v>
      </c>
      <c r="F18" s="41">
        <f t="shared" si="5"/>
        <v>2327.0607583706296</v>
      </c>
      <c r="G18" s="41">
        <f t="shared" si="5"/>
        <v>2431.3725911067741</v>
      </c>
    </row>
    <row r="19" spans="1:7" x14ac:dyDescent="0.2">
      <c r="A19" t="s">
        <v>164</v>
      </c>
      <c r="C19" s="45">
        <f>WACC!$B$11</f>
        <v>7.4999999999999997E-2</v>
      </c>
      <c r="D19" s="45">
        <f>WACC!$B$11</f>
        <v>7.4999999999999997E-2</v>
      </c>
      <c r="E19" s="45">
        <f>WACC!$B$11</f>
        <v>7.4999999999999997E-2</v>
      </c>
      <c r="F19" s="45">
        <f>WACC!$B$11</f>
        <v>7.4999999999999997E-2</v>
      </c>
      <c r="G19" s="45">
        <f>WACC!$B$11</f>
        <v>7.4999999999999997E-2</v>
      </c>
    </row>
    <row r="20" spans="1:7" x14ac:dyDescent="0.2">
      <c r="A20" t="s">
        <v>13</v>
      </c>
      <c r="C20">
        <f>C15*C19</f>
        <v>141</v>
      </c>
      <c r="D20" s="41">
        <f t="shared" ref="D20:G20" si="6">D15*D19</f>
        <v>141.52404702213525</v>
      </c>
      <c r="E20" s="41">
        <f t="shared" si="6"/>
        <v>147.99145025118591</v>
      </c>
      <c r="F20" s="41">
        <f t="shared" si="6"/>
        <v>161.53509138267989</v>
      </c>
      <c r="G20" s="41">
        <f t="shared" si="6"/>
        <v>174.52955687779721</v>
      </c>
    </row>
    <row r="22" spans="1:7" x14ac:dyDescent="0.2">
      <c r="A22" s="10" t="s">
        <v>168</v>
      </c>
      <c r="B22" s="11"/>
    </row>
    <row r="23" spans="1:7" x14ac:dyDescent="0.2">
      <c r="A23" s="2" t="s">
        <v>169</v>
      </c>
      <c r="B23">
        <f>B10+B18</f>
        <v>2070</v>
      </c>
      <c r="C23" s="41">
        <f>C10+C18</f>
        <v>2076.9872936284701</v>
      </c>
      <c r="D23" s="41">
        <f t="shared" ref="D23:G23" si="7">D10+D18</f>
        <v>2163.219336682479</v>
      </c>
      <c r="E23" s="41">
        <f t="shared" si="7"/>
        <v>2343.8012184357322</v>
      </c>
      <c r="F23" s="41">
        <f t="shared" si="7"/>
        <v>2517.0607583706296</v>
      </c>
      <c r="G23" s="41">
        <f t="shared" si="7"/>
        <v>2621.3725911067741</v>
      </c>
    </row>
    <row r="24" spans="1:7" x14ac:dyDescent="0.2">
      <c r="A24" s="2" t="s">
        <v>170</v>
      </c>
      <c r="B24">
        <f>'Income Statement'!C15</f>
        <v>85</v>
      </c>
      <c r="C24" s="41">
        <f>C12+C20</f>
        <v>155.25</v>
      </c>
      <c r="D24" s="41">
        <f t="shared" ref="D24:G24" si="8">D12+D20</f>
        <v>155.77404702213525</v>
      </c>
      <c r="E24" s="41">
        <f t="shared" si="8"/>
        <v>162.24145025118591</v>
      </c>
      <c r="F24" s="41">
        <f t="shared" si="8"/>
        <v>175.78509138267989</v>
      </c>
      <c r="G24" s="41">
        <f t="shared" si="8"/>
        <v>188.77955687779721</v>
      </c>
    </row>
    <row r="25" spans="1:7" x14ac:dyDescent="0.2">
      <c r="A25" t="s">
        <v>171</v>
      </c>
      <c r="B25">
        <f>'Balance Sheet'!C6</f>
        <v>482.5</v>
      </c>
      <c r="C25">
        <f>'Balance Sheet'!D6</f>
        <v>400</v>
      </c>
      <c r="D25">
        <f>'Balance Sheet'!E6</f>
        <v>400</v>
      </c>
      <c r="E25">
        <f>'Balance Sheet'!F6</f>
        <v>400</v>
      </c>
      <c r="F25">
        <f>'Balance Sheet'!G6</f>
        <v>728.866296857105</v>
      </c>
      <c r="G25">
        <f>'Balance Sheet'!H6</f>
        <v>1515.5568711708891</v>
      </c>
    </row>
    <row r="27" spans="1:7" x14ac:dyDescent="0.2">
      <c r="A27" s="15"/>
    </row>
    <row r="29" spans="1:7" x14ac:dyDescent="0.2">
      <c r="A29" s="26" t="s">
        <v>193</v>
      </c>
      <c r="B29" s="34"/>
    </row>
    <row r="30" spans="1:7" x14ac:dyDescent="0.2">
      <c r="A30" s="27" t="s">
        <v>194</v>
      </c>
      <c r="C30" s="35">
        <f>Assumptions!$B$38</f>
        <v>0.5</v>
      </c>
      <c r="D30" s="35">
        <f>Assumptions!$B$38</f>
        <v>0.5</v>
      </c>
      <c r="E30" s="35">
        <f>Assumptions!$B$38</f>
        <v>0.5</v>
      </c>
      <c r="F30" s="35">
        <f>Assumptions!$B$38</f>
        <v>0.5</v>
      </c>
      <c r="G30" s="35">
        <f>Assumptions!$B$38</f>
        <v>0.5</v>
      </c>
    </row>
    <row r="31" spans="1:7" x14ac:dyDescent="0.2">
      <c r="A31" s="27" t="s">
        <v>191</v>
      </c>
      <c r="C31" s="35">
        <f>Assumptions!$B$39</f>
        <v>0.05</v>
      </c>
      <c r="D31" s="35">
        <f>Assumptions!$B$39</f>
        <v>0.05</v>
      </c>
      <c r="E31" s="35">
        <f>Assumptions!$B$39</f>
        <v>0.05</v>
      </c>
      <c r="F31" s="35">
        <f>Assumptions!$B$39</f>
        <v>0.05</v>
      </c>
      <c r="G31" s="35">
        <f>Assumptions!$B$39</f>
        <v>0.05</v>
      </c>
    </row>
    <row r="32" spans="1:7" x14ac:dyDescent="0.2">
      <c r="A32" s="27" t="s">
        <v>195</v>
      </c>
      <c r="C32" s="37">
        <f>Assumptions!$B$40</f>
        <v>400</v>
      </c>
      <c r="D32" s="37">
        <f>Assumptions!$B$40</f>
        <v>400</v>
      </c>
      <c r="E32" s="37">
        <f>Assumptions!$B$40</f>
        <v>400</v>
      </c>
      <c r="F32" s="37">
        <f>Assumptions!$B$40</f>
        <v>400</v>
      </c>
      <c r="G32" s="37">
        <f>Assumptions!$B$40</f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Income Statement</vt:lpstr>
      <vt:lpstr>Balance Sheet</vt:lpstr>
      <vt:lpstr>Cash Flow Statement</vt:lpstr>
      <vt:lpstr>WACC</vt:lpstr>
      <vt:lpstr>DCF Valuation</vt:lpstr>
      <vt:lpstr>Revenue &amp; Cost Drivers</vt:lpstr>
      <vt:lpstr>Capacity Expansion</vt:lpstr>
      <vt:lpstr>Debt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Pulin Aggarwal</dc:creator>
  <cp:lastModifiedBy>omee12921@gmail.com</cp:lastModifiedBy>
  <dcterms:created xsi:type="dcterms:W3CDTF">2026-09-13T15:24:57Z</dcterms:created>
  <dcterms:modified xsi:type="dcterms:W3CDTF">2026-10-17T04:20:27Z</dcterms:modified>
</cp:coreProperties>
</file>